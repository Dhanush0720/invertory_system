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VEGITABLES SUPPLYS " sheetId="1" r:id="rId5"/>
    <sheet state="visible" name="DAILY GROCERUES SUPPLYS  " sheetId="2" r:id="rId6"/>
    <sheet state="visible" name="GROCERUES AVILABLE STOCK" sheetId="3" r:id="rId7"/>
    <sheet state="visible" name="ORDER  VEGITABLES " sheetId="4" r:id="rId8"/>
    <sheet state="visible" name="VEGITABLES PURCHESE " sheetId="5" r:id="rId9"/>
    <sheet state="visible" name="GROCERYS PURCHASE " sheetId="6" r:id="rId10"/>
    <sheet state="visible" name="GROCERIES " sheetId="7" r:id="rId11"/>
    <sheet state="visible" name="DAILY GROCERUES SUPPLYS " sheetId="8" r:id="rId12"/>
    <sheet state="visible" name="DAY WISE MENU UPDATES" sheetId="9" r:id="rId13"/>
  </sheets>
  <definedNames/>
  <calcPr/>
</workbook>
</file>

<file path=xl/sharedStrings.xml><?xml version="1.0" encoding="utf-8"?>
<sst xmlns="http://schemas.openxmlformats.org/spreadsheetml/2006/main" count="4054" uniqueCount="576">
  <si>
    <t>Timestamp</t>
  </si>
  <si>
    <t xml:space="preserve">NAME OF THE ITEMS </t>
  </si>
  <si>
    <t>ISSUED DATE</t>
  </si>
  <si>
    <t xml:space="preserve">UNIT'S </t>
  </si>
  <si>
    <t>QUANTITY ISSUED</t>
  </si>
  <si>
    <t>ISSUED BY</t>
  </si>
  <si>
    <t>ISSUED TO</t>
  </si>
  <si>
    <t xml:space="preserve">PURPOSE OF USED </t>
  </si>
  <si>
    <t>Column 7</t>
  </si>
  <si>
    <t>UNIT'S  2</t>
  </si>
  <si>
    <t>ఉల్లిపాయ</t>
  </si>
  <si>
    <t>1/2kg</t>
  </si>
  <si>
    <t xml:space="preserve">Murali krishna </t>
  </si>
  <si>
    <t>MAREYANNA-MASTER</t>
  </si>
  <si>
    <t>NON VEG CURRY</t>
  </si>
  <si>
    <t>పచ్చిమిర్చి</t>
  </si>
  <si>
    <t>100grms</t>
  </si>
  <si>
    <t xml:space="preserve">Murali </t>
  </si>
  <si>
    <t>బంగాళాదుంప</t>
  </si>
  <si>
    <t>1kg</t>
  </si>
  <si>
    <t>TIFFIN</t>
  </si>
  <si>
    <t>పుదీనా</t>
  </si>
  <si>
    <t>క్యారెట్</t>
  </si>
  <si>
    <t>కొత్తిమీర</t>
  </si>
  <si>
    <t>మాంసం</t>
  </si>
  <si>
    <t>10kgs</t>
  </si>
  <si>
    <t>5kgs</t>
  </si>
  <si>
    <t>12kg</t>
  </si>
  <si>
    <t>టమాటా</t>
  </si>
  <si>
    <t>2kgs</t>
  </si>
  <si>
    <t>Murali</t>
  </si>
  <si>
    <t>అల్లం</t>
  </si>
  <si>
    <t>వెల్లుల్లి</t>
  </si>
  <si>
    <t>1/4kg</t>
  </si>
  <si>
    <t>MAREYAMMA - MASTER</t>
  </si>
  <si>
    <t>VEG CURRY</t>
  </si>
  <si>
    <t>3kgs</t>
  </si>
  <si>
    <t>గుడ్లు</t>
  </si>
  <si>
    <t>100 eggs</t>
  </si>
  <si>
    <t>FRAID RISE</t>
  </si>
  <si>
    <t>క్యాబేజీ</t>
  </si>
  <si>
    <t>1.1/2 kgs</t>
  </si>
  <si>
    <t>కరివేపాకు</t>
  </si>
  <si>
    <t>Cook Using</t>
  </si>
  <si>
    <t>6kgs</t>
  </si>
  <si>
    <t>BIRYANI</t>
  </si>
  <si>
    <t>1katta</t>
  </si>
  <si>
    <t>2 kattlu</t>
  </si>
  <si>
    <t>8kgs</t>
  </si>
  <si>
    <t>నెయ్యి</t>
  </si>
  <si>
    <t>150grms</t>
  </si>
  <si>
    <t>నిమ్మకాయ</t>
  </si>
  <si>
    <t>5,kgs</t>
  </si>
  <si>
    <t>ఆనబకాయ</t>
  </si>
  <si>
    <t>7kgs</t>
  </si>
  <si>
    <t xml:space="preserve">1kg </t>
  </si>
  <si>
    <t>CHUTNEY</t>
  </si>
  <si>
    <t>బెండకాయ</t>
  </si>
  <si>
    <t>FRY</t>
  </si>
  <si>
    <t xml:space="preserve">7kgs </t>
  </si>
  <si>
    <t>RASAM</t>
  </si>
  <si>
    <t>మునగకాయ</t>
  </si>
  <si>
    <t>120eggs</t>
  </si>
  <si>
    <t>12kgs</t>
  </si>
  <si>
    <t>4kgs</t>
  </si>
  <si>
    <t>120grms</t>
  </si>
  <si>
    <t>130grms</t>
  </si>
  <si>
    <t>1Kg</t>
  </si>
  <si>
    <t>బూడిద గుమ్మడికాయ</t>
  </si>
  <si>
    <t>మష్రూమ్</t>
  </si>
  <si>
    <t>KG</t>
  </si>
  <si>
    <t>1/4kgs</t>
  </si>
  <si>
    <t>2kg</t>
  </si>
  <si>
    <t>GRAM</t>
  </si>
  <si>
    <t>5kg</t>
  </si>
  <si>
    <t>1/2 kg</t>
  </si>
  <si>
    <t>గోంగూర</t>
  </si>
  <si>
    <t>PCS</t>
  </si>
  <si>
    <t>30 kattallu</t>
  </si>
  <si>
    <t>SET</t>
  </si>
  <si>
    <t>100eggs</t>
  </si>
  <si>
    <t xml:space="preserve">4 kgs </t>
  </si>
  <si>
    <t>3 kgs</t>
  </si>
  <si>
    <t>1/4 kg</t>
  </si>
  <si>
    <t>BOX</t>
  </si>
  <si>
    <t xml:space="preserve">1 kg </t>
  </si>
  <si>
    <t>1/4 kgs</t>
  </si>
  <si>
    <t xml:space="preserve">100 grams </t>
  </si>
  <si>
    <t>2Kgs</t>
  </si>
  <si>
    <t>చామదుంప</t>
  </si>
  <si>
    <t>7 kgs</t>
  </si>
  <si>
    <t>100 grms</t>
  </si>
  <si>
    <t>2 kgs</t>
  </si>
  <si>
    <t>SAMBAR</t>
  </si>
  <si>
    <t>1 kg</t>
  </si>
  <si>
    <t>8 kgs</t>
  </si>
  <si>
    <t>15 kgs</t>
  </si>
  <si>
    <t>130 grms</t>
  </si>
  <si>
    <t>అరటికాయ</t>
  </si>
  <si>
    <t>దొండకాయ</t>
  </si>
  <si>
    <t>10 kgs</t>
  </si>
  <si>
    <t xml:space="preserve">5 kgs </t>
  </si>
  <si>
    <t xml:space="preserve">3kgs </t>
  </si>
  <si>
    <t xml:space="preserve">3 kgs </t>
  </si>
  <si>
    <t>Score</t>
  </si>
  <si>
    <t>NAME OF ITEM</t>
  </si>
  <si>
    <t xml:space="preserve">DATE OF ISSUED </t>
  </si>
  <si>
    <t xml:space="preserve">QUANTITY ISSUED </t>
  </si>
  <si>
    <t xml:space="preserve">PARTICULARS FOR EXTRA COOKING </t>
  </si>
  <si>
    <t xml:space="preserve">PURPOSE OF USING </t>
  </si>
  <si>
    <t>CHINTHA PANDU</t>
  </si>
  <si>
    <t>MAREYAMMA-MASTER</t>
  </si>
  <si>
    <t xml:space="preserve">D.murali krishna </t>
  </si>
  <si>
    <t>FOR FFC PURPOSE 50 MEMBERS EXTRA TIFFIN,LUNCH</t>
  </si>
  <si>
    <t>INGUVA POWDER-50GM</t>
  </si>
  <si>
    <t xml:space="preserve">50gr </t>
  </si>
  <si>
    <t>SAMBAR POWDER-mtr-100g</t>
  </si>
  <si>
    <t>100gr</t>
  </si>
  <si>
    <t>BELLAM-KG</t>
  </si>
  <si>
    <t>JEDI PAPPU NUKA -KG</t>
  </si>
  <si>
    <t>POOL MAKHANA-250GM</t>
  </si>
  <si>
    <t>APPADALU</t>
  </si>
  <si>
    <t>3kg</t>
  </si>
  <si>
    <t>MAREYANNA- MASTER</t>
  </si>
  <si>
    <t>KARAM-500GM</t>
  </si>
  <si>
    <t>TEA POWDER-KHAASS- KG PACK</t>
  </si>
  <si>
    <t>TEA</t>
  </si>
  <si>
    <t>YACOB-TEA MATER</t>
  </si>
  <si>
    <t>Murali krishna</t>
  </si>
  <si>
    <t>STAFF PURPOSE</t>
  </si>
  <si>
    <t>SENAGA PINDI-1KG</t>
  </si>
  <si>
    <t>1kgà</t>
  </si>
  <si>
    <t>CORNFLEX POWDER</t>
  </si>
  <si>
    <t>RICE-26KG</t>
  </si>
  <si>
    <t>25kg</t>
  </si>
  <si>
    <t>RICE</t>
  </si>
  <si>
    <t>SHIVA -HELPER</t>
  </si>
  <si>
    <t>11kgs</t>
  </si>
  <si>
    <t>GODUMA RAVA-KG</t>
  </si>
  <si>
    <t>VERUSENGA GULLU</t>
  </si>
  <si>
    <t>GEE</t>
  </si>
  <si>
    <t>100grmd</t>
  </si>
  <si>
    <t>OIL-SUNFLOWER-15KG TIN</t>
  </si>
  <si>
    <t xml:space="preserve">LAUNCH </t>
  </si>
  <si>
    <t>Dhaniyalu Podi</t>
  </si>
  <si>
    <t>MASALA POWDER</t>
  </si>
  <si>
    <t>50grms</t>
  </si>
  <si>
    <t>IDLI RAVVA</t>
  </si>
  <si>
    <t xml:space="preserve">BRACK FAST </t>
  </si>
  <si>
    <t>RASAM POWDER mtr-200G</t>
  </si>
  <si>
    <t>PASTA</t>
  </si>
  <si>
    <t>SNACKS</t>
  </si>
  <si>
    <t>CHAYA MINAPAGULLU-25KG BAG</t>
  </si>
  <si>
    <t>2.1/2kgs</t>
  </si>
  <si>
    <t>KANDHI PAPPU-KG</t>
  </si>
  <si>
    <t>DINNER</t>
  </si>
  <si>
    <t>4kg</t>
  </si>
  <si>
    <t>LUNCH</t>
  </si>
  <si>
    <t xml:space="preserve">1 packet </t>
  </si>
  <si>
    <t>NUVVULU-WHITE-200GM</t>
  </si>
  <si>
    <t>200grams</t>
  </si>
  <si>
    <t>ROCK SALT-25KG BAG</t>
  </si>
  <si>
    <t>PASUPU-500GM</t>
  </si>
  <si>
    <t>PUTNALU</t>
  </si>
  <si>
    <t>17kgs</t>
  </si>
  <si>
    <t>15kg</t>
  </si>
  <si>
    <t>26kgs</t>
  </si>
  <si>
    <t>15kgs</t>
  </si>
  <si>
    <t>18kgs</t>
  </si>
  <si>
    <t>MINNAPA GULLU</t>
  </si>
  <si>
    <t>1.1/2kg</t>
  </si>
  <si>
    <t>1.1/2kgs</t>
  </si>
  <si>
    <t>Chicken Masala Powder-[ACHI]-50G</t>
  </si>
  <si>
    <t>2Packets</t>
  </si>
  <si>
    <t>SUGAR</t>
  </si>
  <si>
    <t>3packets</t>
  </si>
  <si>
    <t>1/4</t>
  </si>
  <si>
    <t>KABULI SHENAGALU-1KG</t>
  </si>
  <si>
    <t>PESARA PAPPU-KG</t>
  </si>
  <si>
    <t>BOMBAI RAVVA-KG</t>
  </si>
  <si>
    <t>1.1/2</t>
  </si>
  <si>
    <t>16kg</t>
  </si>
  <si>
    <t>RICE-BASUMATHI-30KG</t>
  </si>
  <si>
    <t xml:space="preserve">7kg </t>
  </si>
  <si>
    <t>DHASINA CHEKKA-100GM</t>
  </si>
  <si>
    <t>10grs</t>
  </si>
  <si>
    <t>JAJI PUVVU-50GM</t>
  </si>
  <si>
    <t>10grms</t>
  </si>
  <si>
    <t>LAVANGAM-50GM</t>
  </si>
  <si>
    <t>ANASA PUVU-50GM</t>
  </si>
  <si>
    <t>Dhaniyalu-500GM</t>
  </si>
  <si>
    <t>RASAM POWDER mtr-200GM</t>
  </si>
  <si>
    <t>200grms</t>
  </si>
  <si>
    <t>3liters</t>
  </si>
  <si>
    <t>MAIDHA</t>
  </si>
  <si>
    <t>16kgs</t>
  </si>
  <si>
    <t>KASURI METHI-100GM</t>
  </si>
  <si>
    <t>AAVALU</t>
  </si>
  <si>
    <t>JELAKARRA</t>
  </si>
  <si>
    <t>COCONUT POWDER-KG</t>
  </si>
  <si>
    <t>KARPURAM-500GM</t>
  </si>
  <si>
    <t>IODIZED SALT - 25KG BAG</t>
  </si>
  <si>
    <t>madhu</t>
  </si>
  <si>
    <t>4 kgs</t>
  </si>
  <si>
    <t>120 grms</t>
  </si>
  <si>
    <t>1/2 grams</t>
  </si>
  <si>
    <t>250grams</t>
  </si>
  <si>
    <t>2 packets</t>
  </si>
  <si>
    <t>2.1/2 kg</t>
  </si>
  <si>
    <t>2 kg</t>
  </si>
  <si>
    <t>100grams</t>
  </si>
  <si>
    <t>15liters</t>
  </si>
  <si>
    <t>250grm</t>
  </si>
  <si>
    <t xml:space="preserve">16kgs </t>
  </si>
  <si>
    <t>YALLUKULU-200G</t>
  </si>
  <si>
    <t>DHUPSTICKS</t>
  </si>
  <si>
    <t xml:space="preserve">2Packets </t>
  </si>
  <si>
    <t>OCCASIONAL OR ORDER</t>
  </si>
  <si>
    <t>SPECELE  ITEMS</t>
  </si>
  <si>
    <t>EGGS-TRAY</t>
  </si>
  <si>
    <t>VAMU-200GM</t>
  </si>
  <si>
    <t>1tin</t>
  </si>
  <si>
    <t>1/2Kg</t>
  </si>
  <si>
    <t>6kg</t>
  </si>
  <si>
    <t>SUNDHARAM-HELPER</t>
  </si>
  <si>
    <t>17 kgs</t>
  </si>
  <si>
    <t xml:space="preserve">2 kgs </t>
  </si>
  <si>
    <t xml:space="preserve">4kgs </t>
  </si>
  <si>
    <t xml:space="preserve">4 packets </t>
  </si>
  <si>
    <t xml:space="preserve">17 kgs </t>
  </si>
  <si>
    <t xml:space="preserve">7 kgs </t>
  </si>
  <si>
    <t xml:space="preserve">3 KGS </t>
  </si>
  <si>
    <t xml:space="preserve">1Kg </t>
  </si>
  <si>
    <t>N</t>
  </si>
  <si>
    <t>Item Name</t>
  </si>
  <si>
    <t>UOM</t>
  </si>
  <si>
    <t xml:space="preserve">AVAILABLE QUANTITY </t>
  </si>
  <si>
    <t>EXP DATE</t>
  </si>
  <si>
    <t xml:space="preserve">DATE OF VERIFIED </t>
  </si>
  <si>
    <t>PACK</t>
  </si>
  <si>
    <t>NAME OF THE ITEM</t>
  </si>
  <si>
    <t xml:space="preserve">REQUIRED QUANTITY </t>
  </si>
  <si>
    <t xml:space="preserve">DATE </t>
  </si>
  <si>
    <t>ITEM NAME</t>
  </si>
  <si>
    <t xml:space="preserve">QUANTITY </t>
  </si>
  <si>
    <t xml:space="preserve">QTY </t>
  </si>
  <si>
    <t xml:space="preserve">PARTICULERS FOR COKING </t>
  </si>
  <si>
    <t xml:space="preserve">USING ON </t>
  </si>
  <si>
    <t>SUPPLIER NAME</t>
  </si>
  <si>
    <t>UNIT PRICE</t>
  </si>
  <si>
    <t>Cost of All Units</t>
  </si>
  <si>
    <t xml:space="preserve"> DATE OF PURCHASED </t>
  </si>
  <si>
    <t>N.NARASIMHA RAO</t>
  </si>
  <si>
    <t>TRAYS</t>
  </si>
  <si>
    <t>తోటకూర</t>
  </si>
  <si>
    <t>దోసకాయ</t>
  </si>
  <si>
    <t>వంకాయ</t>
  </si>
  <si>
    <t>వంకాయ(WHITE)</t>
  </si>
  <si>
    <t>TRANSPORTAION</t>
  </si>
  <si>
    <t>NOS</t>
  </si>
  <si>
    <t>TOTAL</t>
  </si>
  <si>
    <t>పుట్టగొడుగు</t>
  </si>
  <si>
    <t>గుమ్మడికాయ</t>
  </si>
  <si>
    <t>COCONUTS</t>
  </si>
  <si>
    <t>YACOB</t>
  </si>
  <si>
    <t xml:space="preserve">SATYANARAYANA </t>
  </si>
  <si>
    <t>Bill No/Invoice No</t>
  </si>
  <si>
    <t>Purchased-Item Company</t>
  </si>
  <si>
    <t>QTY</t>
  </si>
  <si>
    <t>Purchased From(Shop Name)</t>
  </si>
  <si>
    <t xml:space="preserve">DATE OF PURCHASED </t>
  </si>
  <si>
    <t>00</t>
  </si>
  <si>
    <t xml:space="preserve">LOCAL </t>
  </si>
  <si>
    <t>MIRCHI</t>
  </si>
  <si>
    <t>NEWS PAPERS</t>
  </si>
  <si>
    <t>S NO</t>
  </si>
  <si>
    <t xml:space="preserve">
NAME OF THE ITEM
</t>
  </si>
  <si>
    <t>cost</t>
  </si>
  <si>
    <t xml:space="preserve">PACKING QUANTITY </t>
  </si>
  <si>
    <t xml:space="preserve">TOTAL Quantity </t>
  </si>
  <si>
    <t>USED</t>
  </si>
  <si>
    <t xml:space="preserve">BALANCE </t>
  </si>
  <si>
    <t>ORDER</t>
  </si>
  <si>
    <t>అనాస పువ్వు-50GM</t>
  </si>
  <si>
    <t>1KG</t>
  </si>
  <si>
    <t>అప్పడాలు-40</t>
  </si>
  <si>
    <t>ఆవాలు</t>
  </si>
  <si>
    <t>5KG</t>
  </si>
  <si>
    <t>ఇడ్లీ రవ్వ</t>
  </si>
  <si>
    <t>100KG</t>
  </si>
  <si>
    <t>ఉప్పు (ఐయోడైజ్డ్)-kg</t>
  </si>
  <si>
    <t>62KGS</t>
  </si>
  <si>
    <t>గోధుమ రవ్వ-KG</t>
  </si>
  <si>
    <t>40KG</t>
  </si>
  <si>
    <t>కందిపప్పు-KG</t>
  </si>
  <si>
    <t>67KGS</t>
  </si>
  <si>
    <t>కర్పూరం-500g</t>
  </si>
  <si>
    <t xml:space="preserve">4 PACKETS </t>
  </si>
  <si>
    <t>కల్లు ఉప్పు-kg</t>
  </si>
  <si>
    <t>25KG</t>
  </si>
  <si>
    <t>కసూరి మెంతి-100g</t>
  </si>
  <si>
    <t>3KGS</t>
  </si>
  <si>
    <t>ఇంగువ పొడి-50GM</t>
  </si>
  <si>
    <t>BOTTEL</t>
  </si>
  <si>
    <t>30 Dabhalu</t>
  </si>
  <si>
    <t>కాబూలీ శెనగలు-kg</t>
  </si>
  <si>
    <t>8KGS</t>
  </si>
  <si>
    <t>కారం-500g</t>
  </si>
  <si>
    <t>30KGS</t>
  </si>
  <si>
    <t>కార్న్ ఫ్లెక్స్ పొడి-kg</t>
  </si>
  <si>
    <t>25KGS</t>
  </si>
  <si>
    <t>KISMIS-500GM</t>
  </si>
  <si>
    <t>కిస్మిస్-500g</t>
  </si>
  <si>
    <t>KUMKUMA</t>
  </si>
  <si>
    <t>కుంకుమ-250g</t>
  </si>
  <si>
    <t>200GMS</t>
  </si>
  <si>
    <t>కొబ్బరి పొడి-kg</t>
  </si>
  <si>
    <t>270-330</t>
  </si>
  <si>
    <t>10KGS</t>
  </si>
  <si>
    <t>GOOD DAY BISCUITS</t>
  </si>
  <si>
    <t>గుడ్ డే బిస్కెట్లు-10rs</t>
  </si>
  <si>
    <t>గుడ్లు (ట్రే)-30nos</t>
  </si>
  <si>
    <t>48TREYS</t>
  </si>
  <si>
    <t xml:space="preserve">SUGAR </t>
  </si>
  <si>
    <t>చక్కెర</t>
  </si>
  <si>
    <t>50KGS</t>
  </si>
  <si>
    <t>CHAT MASALA-50GM</t>
  </si>
  <si>
    <t>చాట్ మసాలా-50G</t>
  </si>
  <si>
    <t>1/2 KG</t>
  </si>
  <si>
    <t>చాయా మినపగుళ్లు-25KG BAG</t>
  </si>
  <si>
    <t>65 KGS</t>
  </si>
  <si>
    <t>CHAYA MINAPAPPU</t>
  </si>
  <si>
    <t>చాయా మినపప్పు</t>
  </si>
  <si>
    <t>చికెన్ మసాలా పొడి</t>
  </si>
  <si>
    <t>2 KGS</t>
  </si>
  <si>
    <t>చింతపండు</t>
  </si>
  <si>
    <t>45 KGS</t>
  </si>
  <si>
    <t>CHILLI SAUCE - 500GM</t>
  </si>
  <si>
    <t>చిల్లీ సాస్-500GM</t>
  </si>
  <si>
    <t>8 LITERS</t>
  </si>
  <si>
    <t>జాజి పువ్వు</t>
  </si>
  <si>
    <t>JEDI PAPPU-KG</t>
  </si>
  <si>
    <t>జీడిపప్పు-KG</t>
  </si>
  <si>
    <t>15 KGS</t>
  </si>
  <si>
    <t>జీడిపప్పు నుకలు-KG</t>
  </si>
  <si>
    <t>జీలకర్ర</t>
  </si>
  <si>
    <t>350-KG</t>
  </si>
  <si>
    <t>8 KGS</t>
  </si>
  <si>
    <t>TOMATO SAUCE - 500GM</t>
  </si>
  <si>
    <t>టమాటో సాస్-500GM</t>
  </si>
  <si>
    <t>3 LITERS</t>
  </si>
  <si>
    <t>టీ పొడి – ఖాస్ –KG</t>
  </si>
  <si>
    <t>10 KGS</t>
  </si>
  <si>
    <t>TASTING SALT</t>
  </si>
  <si>
    <t>టేస్టింగ్ సాల్ట్</t>
  </si>
  <si>
    <t>1 KG</t>
  </si>
  <si>
    <t>DALDA-893GM</t>
  </si>
  <si>
    <t>డాల్డా</t>
  </si>
  <si>
    <t>25-05-26</t>
  </si>
  <si>
    <t>దాల్చిన చెక్క-100GM</t>
  </si>
  <si>
    <t>ధనియాల పొడి</t>
  </si>
  <si>
    <t>ధనియాలు-500g</t>
  </si>
  <si>
    <t>ధూప్ స్టిక్స్</t>
  </si>
  <si>
    <t>5 BOXS</t>
  </si>
  <si>
    <t>OIL-NUVVULA NUNI</t>
  </si>
  <si>
    <t>నువ్వుల నూనె</t>
  </si>
  <si>
    <t>6 KGS</t>
  </si>
  <si>
    <t>నువ్వులు (తెల్ల)-200GM</t>
  </si>
  <si>
    <t>OIL-DIPARADHANA</t>
  </si>
  <si>
    <t>నూనె – దీపారాధన</t>
  </si>
  <si>
    <t>LTR</t>
  </si>
  <si>
    <t>2 BOTTLES</t>
  </si>
  <si>
    <t>PACHI SENAGA PAPPU</t>
  </si>
  <si>
    <t>పచ్చి శెనగపప్పు</t>
  </si>
  <si>
    <t>35 KGS</t>
  </si>
  <si>
    <t>పసుపు-500G</t>
  </si>
  <si>
    <t>5 KGS</t>
  </si>
  <si>
    <t xml:space="preserve">PASTA </t>
  </si>
  <si>
    <t>పాస్తా</t>
  </si>
  <si>
    <t>పుట్నాలు-KG</t>
  </si>
  <si>
    <t>60 KGS</t>
  </si>
  <si>
    <t>PALAV LEEF</t>
  </si>
  <si>
    <t>పులావ్ ఆకు</t>
  </si>
  <si>
    <t>PALAVU MALATI MOGGA</t>
  </si>
  <si>
    <t>పులావ్ మలతి మొగ్గ</t>
  </si>
  <si>
    <t>పెసరపప్పు-KG</t>
  </si>
  <si>
    <t>12 KGS</t>
  </si>
  <si>
    <t>PESALU-1KG</t>
  </si>
  <si>
    <t>పెసలు</t>
  </si>
  <si>
    <t>పూల్ మఖానా-250GM</t>
  </si>
  <si>
    <t>4 Packets</t>
  </si>
  <si>
    <t>FINGER CHIPS</t>
  </si>
  <si>
    <t>ఫింగర్ చిప్స్</t>
  </si>
  <si>
    <t>BATANI</t>
  </si>
  <si>
    <t>బటాణీ</t>
  </si>
  <si>
    <t>4 KGS</t>
  </si>
  <si>
    <t>బాసుమతి బియ్యం-30KG</t>
  </si>
  <si>
    <t>BAGS</t>
  </si>
  <si>
    <t>104 KGS</t>
  </si>
  <si>
    <t>బియ్యం-26KG</t>
  </si>
  <si>
    <t>50 BAGS</t>
  </si>
  <si>
    <t>RAW RICE</t>
  </si>
  <si>
    <t>బియ్యం (రా రైస్)</t>
  </si>
  <si>
    <t>బెల్లం-KG</t>
  </si>
  <si>
    <t>30 KGS</t>
  </si>
  <si>
    <t>బొంబాయి రవ్వ-KG</t>
  </si>
  <si>
    <t>25 KGS</t>
  </si>
  <si>
    <t>BOBBARLU</t>
  </si>
  <si>
    <t>బొబ్బర్లు</t>
  </si>
  <si>
    <t>black salt powder-KG</t>
  </si>
  <si>
    <t>బ్లాక్ సాల్ట్ పొడి-KG</t>
  </si>
  <si>
    <t>మసాలా పొడి</t>
  </si>
  <si>
    <t>MINAPPAPU</t>
  </si>
  <si>
    <t>మినప్పప్పు</t>
  </si>
  <si>
    <t xml:space="preserve">PEPPER </t>
  </si>
  <si>
    <t>మిరియాలు</t>
  </si>
  <si>
    <t>MILMAKER-KG</t>
  </si>
  <si>
    <t>మిల్ మేకర్ – KG</t>
  </si>
  <si>
    <t>MILMAKER-30KG</t>
  </si>
  <si>
    <t>మిల్ మేకర్ – 30 KG</t>
  </si>
  <si>
    <t>MENTHULU</t>
  </si>
  <si>
    <t>మెంతులు</t>
  </si>
  <si>
    <t>మైదా</t>
  </si>
  <si>
    <t>100 KGS</t>
  </si>
  <si>
    <t>రసం పొడి-200g</t>
  </si>
  <si>
    <t>15 Packtes</t>
  </si>
  <si>
    <t>లవంగం-50GM</t>
  </si>
  <si>
    <t>VATHULU</t>
  </si>
  <si>
    <t>వత్తులు</t>
  </si>
  <si>
    <t>వాము-200GM</t>
  </si>
  <si>
    <t>VINEGAR-500GM</t>
  </si>
  <si>
    <t>వినిగర్-500GM</t>
  </si>
  <si>
    <t>4 liters</t>
  </si>
  <si>
    <t>వెలుకల200G</t>
  </si>
  <si>
    <t>1. 1/2 KGS</t>
  </si>
  <si>
    <t>వేరుశెనగ గుళ్లు</t>
  </si>
  <si>
    <t>శెనగపిండి-KG</t>
  </si>
  <si>
    <t>50 KGS</t>
  </si>
  <si>
    <t xml:space="preserve">SHAJEERA-LOOSE </t>
  </si>
  <si>
    <t>షాజీరా</t>
  </si>
  <si>
    <t>SAGGU BEYYAM-500GM</t>
  </si>
  <si>
    <t>సగ్గుబియ్యం</t>
  </si>
  <si>
    <t>సన్‌ఫ్లవర్ నూనె – 15 కేజీ టిన్</t>
  </si>
  <si>
    <t>20 TINS</t>
  </si>
  <si>
    <t xml:space="preserve">SAMBAR POWDER-mtr-100g </t>
  </si>
  <si>
    <t>సాంబార్ పొడి – 100 గ్రాములు</t>
  </si>
  <si>
    <t>30 Packets</t>
  </si>
  <si>
    <t>SEMYA-850GM</t>
  </si>
  <si>
    <t>సేమ్యా-850g</t>
  </si>
  <si>
    <t>SEMYA -100G</t>
  </si>
  <si>
    <t>సేమ్యా-100G</t>
  </si>
  <si>
    <t>SOYA SAUCE 500GM</t>
  </si>
  <si>
    <t>సోయా సాస్-500GM</t>
  </si>
  <si>
    <t>4 Liters</t>
  </si>
  <si>
    <t>STAR PUVVU-100GM</t>
  </si>
  <si>
    <t>స్టార్ పువ్వు-100GM</t>
  </si>
  <si>
    <t>SUGAR-50KG BAG</t>
  </si>
  <si>
    <t>పంచదార-50KG BAG</t>
  </si>
  <si>
    <t>PESALU-(0RGANIC TATTAVA)-KG</t>
  </si>
  <si>
    <t>పెసలు-KG</t>
  </si>
  <si>
    <t xml:space="preserve"> DETERGENT POWDER-KG</t>
  </si>
  <si>
    <t>VIM DISH WASH SOAP-10GM</t>
  </si>
  <si>
    <t>SAMOSA PAPED</t>
  </si>
  <si>
    <t>TEA GLASSES -PACKS</t>
  </si>
  <si>
    <t xml:space="preserve"> </t>
  </si>
  <si>
    <t>WATER GLASSES -20PACKS</t>
  </si>
  <si>
    <t>MATAN MASALA-100GM</t>
  </si>
  <si>
    <t>10 KG</t>
  </si>
  <si>
    <t xml:space="preserve">WAST PAPERS </t>
  </si>
  <si>
    <t xml:space="preserve">GRAM </t>
  </si>
  <si>
    <t>Date of  Issued</t>
  </si>
  <si>
    <t>PARTICULERS</t>
  </si>
  <si>
    <t xml:space="preserve">FOR ORDER </t>
  </si>
  <si>
    <t xml:space="preserve">SPECELE  ITEMS </t>
  </si>
  <si>
    <t xml:space="preserve"> VERU SENGA GULLU</t>
  </si>
  <si>
    <t xml:space="preserve"> GODUMA RAVA-KG</t>
  </si>
  <si>
    <t>MAIDA</t>
  </si>
  <si>
    <t>PAPPU</t>
  </si>
  <si>
    <t>ADMINE OFFICE</t>
  </si>
  <si>
    <t>PURI-10/05</t>
  </si>
  <si>
    <t>GARI-</t>
  </si>
  <si>
    <t>MD SIR MASHALA</t>
  </si>
  <si>
    <t>PULMAKHANI</t>
  </si>
  <si>
    <t>SCRUB</t>
  </si>
  <si>
    <t>13-05-2026</t>
  </si>
  <si>
    <t>TESTING SALT</t>
  </si>
  <si>
    <t>14-05-2026</t>
  </si>
  <si>
    <t>15-05-2026</t>
  </si>
  <si>
    <t>16-05-2026</t>
  </si>
  <si>
    <t>17-05-2026</t>
  </si>
  <si>
    <t>18-05-2026</t>
  </si>
  <si>
    <t>19-05-2026</t>
  </si>
  <si>
    <t>ITEMS NAMES</t>
  </si>
  <si>
    <t>FOOD LIFT OVER</t>
  </si>
  <si>
    <t>FEED BACK</t>
  </si>
  <si>
    <t xml:space="preserve"> BOYS HOSTAL</t>
  </si>
  <si>
    <t>GIRLS  HOSTAL</t>
  </si>
  <si>
    <t xml:space="preserve">EXTERNAL'S </t>
  </si>
  <si>
    <t xml:space="preserve">TRAINERS </t>
  </si>
  <si>
    <t>GUESTS/FACULTY</t>
  </si>
  <si>
    <t>STAFF&amp;WARDENS</t>
  </si>
  <si>
    <t>OTHERS</t>
  </si>
  <si>
    <t xml:space="preserve">TOTAL </t>
  </si>
  <si>
    <t>IDLEY</t>
  </si>
  <si>
    <t>GOOD</t>
  </si>
  <si>
    <t>MANGO PAPPU</t>
  </si>
  <si>
    <t>FRY CABBAGE</t>
  </si>
  <si>
    <t xml:space="preserve">VANKAY CHUTNEY </t>
  </si>
  <si>
    <t xml:space="preserve">AVERAGE </t>
  </si>
  <si>
    <t>CURD</t>
  </si>
  <si>
    <t xml:space="preserve"> CHALLA PUNUGU</t>
  </si>
  <si>
    <t>MULAKKADA CURRY</t>
  </si>
  <si>
    <t>SAMBAR/mukkala pulusu</t>
  </si>
  <si>
    <t>2 bukets</t>
  </si>
  <si>
    <t>remark</t>
  </si>
  <si>
    <t>MYSORE BAJJI</t>
  </si>
  <si>
    <t>8 MEMBERS</t>
  </si>
  <si>
    <t>EGG CURRY</t>
  </si>
  <si>
    <t>POOLMAKHANA CURRY</t>
  </si>
  <si>
    <t>2 MEMBERS</t>
  </si>
  <si>
    <t>PALAKURA PAPPU</t>
  </si>
  <si>
    <t>5 MEMBERS</t>
  </si>
  <si>
    <t>DHONDAKAYA CHUTNEY</t>
  </si>
  <si>
    <t>MAJJIGA CHARU</t>
  </si>
  <si>
    <t>SAMOSA-2PCS</t>
  </si>
  <si>
    <t>ALLU FRY</t>
  </si>
  <si>
    <t>MULAKKADA RASAM</t>
  </si>
  <si>
    <t>UPMA</t>
  </si>
  <si>
    <t>10 MEMBERS</t>
  </si>
  <si>
    <t>CHICKEN CURRY</t>
  </si>
  <si>
    <t>PANNER CURRY</t>
  </si>
  <si>
    <t xml:space="preserve">DHOSAKAYA CHUTNEY </t>
  </si>
  <si>
    <t xml:space="preserve">RASAM  </t>
  </si>
  <si>
    <t>3 MEMBERS</t>
  </si>
  <si>
    <t xml:space="preserve">KARBUJA &amp;BUSCKETS </t>
  </si>
  <si>
    <t>VANKAYA BATANI CURRY</t>
  </si>
  <si>
    <t>meriyalu  CHARU</t>
  </si>
  <si>
    <t>PULIHORA-TAMOTA CHETNY</t>
  </si>
  <si>
    <t xml:space="preserve">10 MEMBERS </t>
  </si>
  <si>
    <t xml:space="preserve"> LUNCH</t>
  </si>
  <si>
    <t>ANABHAKAYA PAPPU</t>
  </si>
  <si>
    <t>KANDHA FRY</t>
  </si>
  <si>
    <t xml:space="preserve">CHUTNEY </t>
  </si>
  <si>
    <t xml:space="preserve">20 MEMBERS </t>
  </si>
  <si>
    <t>ARITIKAYA BUJJI</t>
  </si>
  <si>
    <t>ALU+PALAKURA-CURRY</t>
  </si>
  <si>
    <t>SAMBAR-EDLY</t>
  </si>
  <si>
    <t>TOMATA-PAPPU</t>
  </si>
  <si>
    <t>DHONDAKAYA-65 FRY</t>
  </si>
  <si>
    <t>PESARAPAPPU CHARU-RASAM</t>
  </si>
  <si>
    <t>KOBBARI CHUTNEY</t>
  </si>
  <si>
    <t xml:space="preserve">OUT SIDE STUDENTS FOR COUNSELING </t>
  </si>
  <si>
    <t>VEG BIRYANI</t>
  </si>
  <si>
    <t xml:space="preserve">KATTA </t>
  </si>
  <si>
    <t xml:space="preserve">RAITHA </t>
  </si>
  <si>
    <t>CURRY PUFF-VEG</t>
  </si>
  <si>
    <t>FRAID RICE-EGG</t>
  </si>
  <si>
    <t>FRAID RICE-GOBHI</t>
  </si>
  <si>
    <t>PERUGU CHUTNY</t>
  </si>
  <si>
    <t>09-05-2026.</t>
  </si>
  <si>
    <t>DOSA-GIRLS HOSTAL</t>
  </si>
  <si>
    <t>GARI-BOYS HOSTAL</t>
  </si>
  <si>
    <t>MUDHA PAPPU-APPADAM</t>
  </si>
  <si>
    <t xml:space="preserve">MANGO PICKLE </t>
  </si>
  <si>
    <t>BENDAKAYA /DHONDAKAYA FRY</t>
  </si>
  <si>
    <t xml:space="preserve">WATERMELON &amp; BUSCKETS </t>
  </si>
  <si>
    <t>CHAPATHI/ puri</t>
  </si>
  <si>
    <t>ALU CHANAGA CURRY</t>
  </si>
  <si>
    <t>DOSA-BOYS HOSTAL</t>
  </si>
  <si>
    <t>GARI-GIRLS HOSTAL</t>
  </si>
  <si>
    <t>CHICKEN CURRY- NON VEG</t>
  </si>
  <si>
    <t>MUSHROOM CURRY - VEG</t>
  </si>
  <si>
    <t>RAITHA</t>
  </si>
  <si>
    <t>BASUNDHI &amp; GULAB JAM</t>
  </si>
  <si>
    <t>ARATIKAYA MILK CURRY</t>
  </si>
  <si>
    <t xml:space="preserve">BEET ROOT CHUTNEY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</si>
</sst>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&quot;-&quot;mmm&quot;-&quot;yyyy"/>
    <numFmt numFmtId="165" formatCode="m/d/yyyy h:mm:ss"/>
    <numFmt numFmtId="166" formatCode="dmyy"/>
    <numFmt numFmtId="167" formatCode="mm-dd-yyyy"/>
    <numFmt numFmtId="168" formatCode="mm-dd-yy"/>
    <numFmt numFmtId="169" formatCode="d&quot;-&quot;mm&quot;-&quot;yyyy"/>
  </numFmts>
  <fonts count="19">
    <font>
      <sz val="10.0"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b/>
      <sz val="11.0"/>
      <color rgb="FF000000"/>
      <name val="Times New Roman"/>
    </font>
    <font>
      <sz val="11.0"/>
      <color rgb="FF000000"/>
      <name val="Calibri"/>
    </font>
    <font>
      <sz val="12.0"/>
      <color rgb="FF000000"/>
      <name val="Times New Roman"/>
    </font>
    <font>
      <sz val="11.0"/>
      <color theme="1"/>
      <name val="Arial"/>
      <scheme val="minor"/>
    </font>
    <font>
      <color rgb="FFFF0000"/>
      <name val="Arial"/>
    </font>
    <font>
      <color rgb="FF000000"/>
      <name val="Arial"/>
    </font>
    <font>
      <sz val="13.0"/>
      <color theme="1"/>
      <name val="Times New Roman"/>
    </font>
    <font>
      <sz val="11.0"/>
      <color rgb="FFFF0000"/>
      <name val="Arial"/>
      <scheme val="minor"/>
    </font>
    <font>
      <sz val="11.0"/>
      <color rgb="FFFF00FF"/>
      <name val="Arial"/>
      <scheme val="minor"/>
    </font>
    <font/>
    <font>
      <sz val="11.0"/>
      <color rgb="FF0000FF"/>
      <name val="Arial"/>
      <scheme val="minor"/>
    </font>
    <font>
      <sz val="11.0"/>
      <color rgb="FF000000"/>
      <name val="Arial"/>
      <scheme val="minor"/>
    </font>
    <font>
      <sz val="11.0"/>
      <color rgb="FF741B47"/>
      <name val="Arial"/>
      <scheme val="minor"/>
    </font>
    <font>
      <sz val="11.0"/>
      <color rgb="FFCC0000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45F06"/>
        <bgColor rgb="FFB45F06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9900"/>
        <bgColor rgb="FFFF99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61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14" xfId="0" applyAlignment="1" applyBorder="1" applyFont="1" applyNumberFormat="1">
      <alignment horizontal="left" readingOrder="0" shrinkToFit="0" vertical="center" wrapText="0"/>
    </xf>
    <xf borderId="1" fillId="0" fontId="1" numFmtId="0" xfId="0" applyAlignment="1" applyBorder="1" applyFon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14" xfId="0" applyAlignment="1" applyBorder="1" applyFont="1" applyNumberFormat="1">
      <alignment horizontal="left" readingOrder="0" shrinkToFit="0" vertical="center" wrapText="0"/>
    </xf>
    <xf borderId="1" fillId="0" fontId="1" numFmtId="0" xfId="0" applyAlignment="1" applyBorder="1" applyFont="1">
      <alignment horizontal="left" shrinkToFit="0" vertical="center" wrapText="0"/>
    </xf>
    <xf borderId="0" fillId="0" fontId="1" numFmtId="0" xfId="0" applyAlignment="1" applyFont="1">
      <alignment horizontal="left"/>
    </xf>
    <xf borderId="1" fillId="0" fontId="1" numFmtId="0" xfId="0" applyAlignment="1" applyBorder="1" applyFont="1">
      <alignment readingOrder="0" shrinkToFit="0" vertical="center" wrapText="0"/>
    </xf>
    <xf borderId="1" fillId="0" fontId="1" numFmtId="14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1" fillId="0" fontId="1" numFmtId="164" xfId="0" applyAlignment="1" applyBorder="1" applyFont="1" applyNumberFormat="1">
      <alignment horizontal="left" vertical="center"/>
    </xf>
    <xf borderId="1" fillId="0" fontId="1" numFmtId="0" xfId="0" applyAlignment="1" applyBorder="1" applyFont="1">
      <alignment horizontal="left" vertical="center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quotePrefix="1" borderId="1" fillId="0" fontId="1" numFmtId="0" xfId="0" applyAlignment="1" applyBorder="1" applyFont="1">
      <alignment readingOrder="0" shrinkToFit="0" vertical="center" wrapText="0"/>
    </xf>
    <xf borderId="1" fillId="0" fontId="1" numFmtId="164" xfId="0" applyAlignment="1" applyBorder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0" fontId="1" numFmtId="166" xfId="0" applyAlignment="1" applyBorder="1" applyFont="1" applyNumberForma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3" numFmtId="164" xfId="0" applyAlignment="1" applyBorder="1" applyFont="1" applyNumberForma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164" xfId="0" applyAlignment="1" applyBorder="1" applyFont="1" applyNumberFormat="1">
      <alignment readingOrder="0" shrinkToFit="0" vertical="center" wrapText="0"/>
    </xf>
    <xf borderId="1" fillId="0" fontId="1" numFmtId="166" xfId="0" applyBorder="1" applyFont="1" applyNumberFormat="1"/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1"/>
    </xf>
    <xf quotePrefix="1" borderId="1" fillId="0" fontId="1" numFmtId="0" xfId="0" applyAlignment="1" applyBorder="1" applyFont="1">
      <alignment readingOrder="0" shrinkToFit="0" vertical="center" wrapText="0"/>
    </xf>
    <xf borderId="1" fillId="0" fontId="1" numFmtId="164" xfId="0" applyAlignment="1" applyBorder="1" applyFont="1" applyNumberFormat="1">
      <alignment readingOrder="0" shrinkToFit="0" vertical="center" wrapText="1"/>
    </xf>
    <xf borderId="1" fillId="0" fontId="1" numFmtId="164" xfId="0" applyAlignment="1" applyBorder="1" applyFont="1" applyNumberFormat="1">
      <alignment readingOrder="0" shrinkToFit="0" vertical="center" wrapText="1"/>
    </xf>
    <xf borderId="1" fillId="0" fontId="1" numFmtId="164" xfId="0" applyBorder="1" applyFont="1" applyNumberFormat="1"/>
    <xf borderId="1" fillId="0" fontId="1" numFmtId="0" xfId="0" applyAlignment="1" applyBorder="1" applyFont="1">
      <alignment shrinkToFit="0" wrapText="1"/>
    </xf>
    <xf borderId="1" fillId="0" fontId="1" numFmtId="164" xfId="0" applyAlignment="1" applyBorder="1" applyFont="1" applyNumberFormat="1">
      <alignment horizontal="center" shrinkToFit="0" wrapText="1"/>
    </xf>
    <xf borderId="0" fillId="0" fontId="1" numFmtId="164" xfId="0" applyFont="1" applyNumberFormat="1"/>
    <xf borderId="0" fillId="0" fontId="1" numFmtId="164" xfId="0" applyAlignment="1" applyFont="1" applyNumberFormat="1">
      <alignment horizontal="center" shrinkToFit="0" wrapText="1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left" readingOrder="0"/>
    </xf>
    <xf borderId="1" fillId="2" fontId="5" numFmtId="0" xfId="0" applyAlignment="1" applyBorder="1" applyFill="1" applyFont="1">
      <alignment horizontal="center" readingOrder="0" vertical="bottom"/>
    </xf>
    <xf borderId="1" fillId="2" fontId="5" numFmtId="1" xfId="0" applyAlignment="1" applyBorder="1" applyFont="1" applyNumberFormat="1">
      <alignment horizontal="center" readingOrder="0" shrinkToFit="0" vertical="bottom" wrapText="1"/>
    </xf>
    <xf borderId="1" fillId="0" fontId="4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 readingOrder="0"/>
    </xf>
    <xf borderId="1" fillId="0" fontId="6" numFmtId="0" xfId="0" applyAlignment="1" applyBorder="1" applyFont="1">
      <alignment horizontal="left" readingOrder="0" shrinkToFit="0" vertical="bottom" wrapText="0"/>
    </xf>
    <xf borderId="1" fillId="0" fontId="7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left" readingOrder="0"/>
    </xf>
    <xf borderId="1" fillId="0" fontId="1" numFmtId="167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1" numFmtId="168" xfId="0" applyAlignment="1" applyBorder="1" applyFont="1" applyNumberForma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readingOrder="0"/>
    </xf>
    <xf borderId="0" fillId="2" fontId="1" numFmtId="0" xfId="0" applyAlignment="1" applyFont="1">
      <alignment horizontal="left" readingOrder="0"/>
    </xf>
    <xf borderId="1" fillId="2" fontId="6" numFmtId="0" xfId="0" applyAlignment="1" applyBorder="1" applyFont="1">
      <alignment horizontal="left" readingOrder="0" shrinkToFit="0" vertical="bottom" wrapText="0"/>
    </xf>
    <xf borderId="1" fillId="2" fontId="1" numFmtId="0" xfId="0" applyAlignment="1" applyBorder="1" applyFont="1">
      <alignment horizontal="center"/>
    </xf>
    <xf borderId="1" fillId="2" fontId="7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horizontal="center" readingOrder="0"/>
    </xf>
    <xf borderId="1" fillId="2" fontId="8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/>
    </xf>
    <xf borderId="2" fillId="0" fontId="9" numFmtId="0" xfId="0" applyAlignment="1" applyBorder="1" applyFont="1">
      <alignment horizontal="left" readingOrder="0" vertical="bottom"/>
    </xf>
    <xf borderId="1" fillId="0" fontId="9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horizontal="center"/>
    </xf>
    <xf borderId="1" fillId="0" fontId="9" numFmtId="0" xfId="0" applyAlignment="1" applyBorder="1" applyFont="1">
      <alignment horizontal="center" vertical="bottom"/>
    </xf>
    <xf borderId="2" fillId="0" fontId="10" numFmtId="0" xfId="0" applyAlignment="1" applyBorder="1" applyFont="1">
      <alignment horizontal="left" readingOrder="0" vertical="bottom"/>
    </xf>
    <xf borderId="1" fillId="0" fontId="10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left" readingOrder="0" vertical="bottom"/>
    </xf>
    <xf borderId="0" fillId="0" fontId="8" numFmtId="0" xfId="0" applyAlignment="1" applyFont="1">
      <alignment horizontal="center"/>
    </xf>
    <xf borderId="0" fillId="0" fontId="8" numFmtId="0" xfId="0" applyFont="1"/>
    <xf borderId="1" fillId="4" fontId="11" numFmtId="0" xfId="0" applyAlignment="1" applyBorder="1" applyFill="1" applyFont="1">
      <alignment shrinkToFit="0" vertical="bottom" wrapText="1"/>
    </xf>
    <xf borderId="1" fillId="4" fontId="11" numFmtId="49" xfId="0" applyAlignment="1" applyBorder="1" applyFont="1" applyNumberFormat="1">
      <alignment readingOrder="0" shrinkToFit="0" vertical="bottom" wrapText="1"/>
    </xf>
    <xf borderId="1" fillId="4" fontId="11" numFmtId="0" xfId="0" applyAlignment="1" applyBorder="1" applyFont="1">
      <alignment vertical="bottom"/>
    </xf>
    <xf borderId="1" fillId="4" fontId="11" numFmtId="1" xfId="0" applyAlignment="1" applyBorder="1" applyFont="1" applyNumberFormat="1">
      <alignment vertical="bottom"/>
    </xf>
    <xf borderId="1" fillId="0" fontId="1" numFmtId="169" xfId="0" applyAlignment="1" applyBorder="1" applyFont="1" applyNumberFormat="1">
      <alignment readingOrder="0"/>
    </xf>
    <xf borderId="1" fillId="2" fontId="11" numFmtId="0" xfId="0" applyAlignment="1" applyBorder="1" applyFont="1">
      <alignment readingOrder="0" shrinkToFit="0" vertical="bottom" wrapText="1"/>
    </xf>
    <xf borderId="1" fillId="0" fontId="1" numFmtId="167" xfId="0" applyAlignment="1" applyBorder="1" applyFont="1" applyNumberFormat="1">
      <alignment readingOrder="0"/>
    </xf>
    <xf borderId="1" fillId="0" fontId="4" numFmtId="0" xfId="0" applyAlignment="1" applyBorder="1" applyFont="1">
      <alignment horizontal="center" readingOrder="0" shrinkToFit="0" vertical="center" wrapText="1"/>
    </xf>
    <xf borderId="1" fillId="5" fontId="4" numFmtId="0" xfId="0" applyAlignment="1" applyBorder="1" applyFill="1" applyFont="1">
      <alignment horizontal="center" readingOrder="0" shrinkToFit="0" wrapText="1"/>
    </xf>
    <xf borderId="1" fillId="6" fontId="4" numFmtId="0" xfId="0" applyAlignment="1" applyBorder="1" applyFill="1" applyFont="1">
      <alignment horizontal="center" readingOrder="0" shrinkToFit="0" wrapText="1"/>
    </xf>
    <xf borderId="1" fillId="7" fontId="4" numFmtId="0" xfId="0" applyAlignment="1" applyBorder="1" applyFill="1" applyFont="1">
      <alignment horizontal="center" readingOrder="0" shrinkToFit="0" wrapText="1"/>
    </xf>
    <xf borderId="1" fillId="8" fontId="4" numFmtId="0" xfId="0" applyAlignment="1" applyBorder="1" applyFill="1" applyFont="1">
      <alignment horizontal="center" readingOrder="0" shrinkToFit="0" wrapText="1"/>
    </xf>
    <xf borderId="1" fillId="9" fontId="4" numFmtId="0" xfId="0" applyAlignment="1" applyBorder="1" applyFill="1" applyFont="1">
      <alignment horizontal="center" readingOrder="0" shrinkToFit="0" wrapText="1"/>
    </xf>
    <xf borderId="0" fillId="0" fontId="8" numFmtId="0" xfId="0" applyAlignment="1" applyFont="1">
      <alignment horizontal="center" shrinkToFit="0" wrapText="1"/>
    </xf>
    <xf borderId="1" fillId="0" fontId="8" numFmtId="167" xfId="0" applyAlignment="1" applyBorder="1" applyFont="1" applyNumberFormat="1">
      <alignment horizontal="center" readingOrder="0"/>
    </xf>
    <xf borderId="1" fillId="0" fontId="12" numFmtId="0" xfId="0" applyAlignment="1" applyBorder="1" applyFont="1">
      <alignment horizontal="center" readingOrder="0" shrinkToFit="0" vertical="center" wrapText="1"/>
    </xf>
    <xf borderId="1" fillId="2" fontId="12" numFmtId="0" xfId="0" applyAlignment="1" applyBorder="1" applyFont="1">
      <alignment horizontal="center" readingOrder="0"/>
    </xf>
    <xf borderId="1" fillId="5" fontId="8" numFmtId="0" xfId="0" applyAlignment="1" applyBorder="1" applyFont="1">
      <alignment horizontal="center" readingOrder="0"/>
    </xf>
    <xf borderId="1" fillId="6" fontId="8" numFmtId="0" xfId="0" applyAlignment="1" applyBorder="1" applyFont="1">
      <alignment horizontal="center" readingOrder="0"/>
    </xf>
    <xf borderId="1" fillId="7" fontId="8" numFmtId="0" xfId="0" applyAlignment="1" applyBorder="1" applyFont="1">
      <alignment horizontal="center" readingOrder="0"/>
    </xf>
    <xf borderId="1" fillId="8" fontId="8" numFmtId="0" xfId="0" applyAlignment="1" applyBorder="1" applyFont="1">
      <alignment horizontal="center" readingOrder="0"/>
    </xf>
    <xf borderId="1" fillId="9" fontId="8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/>
    </xf>
    <xf borderId="3" fillId="0" fontId="13" numFmtId="0" xfId="0" applyAlignment="1" applyBorder="1" applyFont="1">
      <alignment horizontal="center" readingOrder="0" shrinkToFit="0" vertical="center" wrapText="1"/>
    </xf>
    <xf borderId="1" fillId="5" fontId="8" numFmtId="0" xfId="0" applyAlignment="1" applyBorder="1" applyFont="1">
      <alignment horizontal="center"/>
    </xf>
    <xf borderId="1" fillId="6" fontId="8" numFmtId="0" xfId="0" applyAlignment="1" applyBorder="1" applyFont="1">
      <alignment horizontal="center"/>
    </xf>
    <xf borderId="1" fillId="7" fontId="8" numFmtId="0" xfId="0" applyAlignment="1" applyBorder="1" applyFont="1">
      <alignment horizontal="center"/>
    </xf>
    <xf borderId="1" fillId="8" fontId="8" numFmtId="0" xfId="0" applyAlignment="1" applyBorder="1" applyFont="1">
      <alignment horizontal="center"/>
    </xf>
    <xf borderId="1" fillId="9" fontId="8" numFmtId="0" xfId="0" applyAlignment="1" applyBorder="1" applyFont="1">
      <alignment horizontal="center"/>
    </xf>
    <xf borderId="4" fillId="0" fontId="14" numFmtId="0" xfId="0" applyBorder="1" applyFont="1"/>
    <xf borderId="2" fillId="0" fontId="14" numFmtId="0" xfId="0" applyBorder="1" applyFont="1"/>
    <xf borderId="1" fillId="0" fontId="12" numFmtId="0" xfId="0" applyAlignment="1" applyBorder="1" applyFont="1">
      <alignment horizontal="center" readingOrder="0"/>
    </xf>
    <xf borderId="3" fillId="2" fontId="15" numFmtId="0" xfId="0" applyAlignment="1" applyBorder="1" applyFont="1">
      <alignment horizontal="center" readingOrder="0" shrinkToFit="0" vertical="center" wrapText="1"/>
    </xf>
    <xf borderId="1" fillId="10" fontId="8" numFmtId="0" xfId="0" applyAlignment="1" applyBorder="1" applyFill="1" applyFont="1">
      <alignment horizontal="center"/>
    </xf>
    <xf borderId="1" fillId="10" fontId="8" numFmtId="0" xfId="0" applyAlignment="1" applyBorder="1" applyFont="1">
      <alignment horizontal="center" shrinkToFit="0" vertical="center" wrapText="1"/>
    </xf>
    <xf borderId="1" fillId="10" fontId="8" numFmtId="0" xfId="0" applyAlignment="1" applyBorder="1" applyFont="1">
      <alignment horizontal="center" readingOrder="0"/>
    </xf>
    <xf borderId="1" fillId="10" fontId="4" numFmtId="0" xfId="0" applyAlignment="1" applyBorder="1" applyFont="1">
      <alignment horizontal="center"/>
    </xf>
    <xf borderId="1" fillId="0" fontId="13" numFmtId="0" xfId="0" applyAlignment="1" applyBorder="1" applyFont="1">
      <alignment horizontal="center"/>
    </xf>
    <xf borderId="1" fillId="0" fontId="16" numFmtId="0" xfId="0" applyAlignment="1" applyBorder="1" applyFont="1">
      <alignment horizontal="center" readingOrder="0"/>
    </xf>
    <xf borderId="3" fillId="0" fontId="15" numFmtId="0" xfId="0" applyAlignment="1" applyBorder="1" applyFont="1">
      <alignment horizontal="center" readingOrder="0" shrinkToFit="0" vertical="center" wrapText="1"/>
    </xf>
    <xf borderId="1" fillId="10" fontId="8" numFmtId="167" xfId="0" applyAlignment="1" applyBorder="1" applyFont="1" applyNumberFormat="1">
      <alignment horizontal="center" readingOrder="0"/>
    </xf>
    <xf borderId="0" fillId="0" fontId="8" numFmtId="0" xfId="0" applyAlignment="1" applyFont="1">
      <alignment readingOrder="0"/>
    </xf>
    <xf borderId="3" fillId="11" fontId="16" numFmtId="0" xfId="0" applyAlignment="1" applyBorder="1" applyFill="1" applyFont="1">
      <alignment horizontal="center" readingOrder="0" shrinkToFit="0" vertical="center" wrapText="1"/>
    </xf>
    <xf borderId="1" fillId="11" fontId="8" numFmtId="0" xfId="0" applyAlignment="1" applyBorder="1" applyFont="1">
      <alignment horizontal="center" readingOrder="0"/>
    </xf>
    <xf borderId="1" fillId="11" fontId="8" numFmtId="0" xfId="0" applyAlignment="1" applyBorder="1" applyFont="1">
      <alignment horizontal="center"/>
    </xf>
    <xf borderId="1" fillId="11" fontId="4" numFmtId="0" xfId="0" applyAlignment="1" applyBorder="1" applyFont="1">
      <alignment horizontal="center"/>
    </xf>
    <xf borderId="3" fillId="0" fontId="12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horizontal="center" readingOrder="0"/>
    </xf>
    <xf borderId="1" fillId="0" fontId="18" numFmtId="0" xfId="0" applyAlignment="1" applyBorder="1" applyFont="1">
      <alignment horizontal="center" readingOrder="0"/>
    </xf>
    <xf borderId="1" fillId="10" fontId="8" numFmtId="0" xfId="0" applyAlignment="1" applyBorder="1" applyFont="1">
      <alignment horizontal="center" shrinkToFit="0" wrapText="1"/>
    </xf>
    <xf borderId="3" fillId="0" fontId="12" numFmtId="0" xfId="0" applyAlignment="1" applyBorder="1" applyFont="1">
      <alignment horizontal="center" readingOrder="0" shrinkToFit="0" wrapText="1"/>
    </xf>
    <xf borderId="1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5" fontId="8" numFmtId="0" xfId="0" applyAlignment="1" applyFont="1">
      <alignment horizontal="center"/>
    </xf>
    <xf borderId="0" fillId="6" fontId="8" numFmtId="0" xfId="0" applyAlignment="1" applyFont="1">
      <alignment horizontal="center"/>
    </xf>
    <xf borderId="0" fillId="7" fontId="8" numFmtId="0" xfId="0" applyAlignment="1" applyFont="1">
      <alignment horizontal="center"/>
    </xf>
    <xf borderId="0" fillId="8" fontId="8" numFmtId="0" xfId="0" applyAlignment="1" applyFont="1">
      <alignment horizontal="center"/>
    </xf>
    <xf borderId="0" fillId="9" fontId="8" numFmtId="0" xfId="0" applyAlignment="1" applyFont="1">
      <alignment horizont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>
        <b/>
      </font>
      <fill>
        <patternFill patternType="solid">
          <fgColor rgb="FFE06666"/>
          <bgColor rgb="FFE06666"/>
        </patternFill>
      </fill>
      <border/>
    </dxf>
  </dxfs>
  <tableStyles count="6">
    <tableStyle count="4" pivot="0" name="DAILY VEGITABLES SUPPLYS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ILY GROCERUES SUPPLYS 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OCERUES AVILABLE STOC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RDER  VEGITABLES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EGITABLES PURCHESE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OCERYS PURCHASE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43" displayName="Form_Responses4" name="Form_Responses4" id="1">
  <tableColumns count="10">
    <tableColumn name="Timestamp" id="1"/>
    <tableColumn name="NAME OF THE ITEMS " id="2"/>
    <tableColumn name="ISSUED DATE" id="3"/>
    <tableColumn name="UNIT'S " id="4"/>
    <tableColumn name="QUANTITY ISSUED" id="5"/>
    <tableColumn name="ISSUED BY" id="6"/>
    <tableColumn name="ISSUED TO" id="7"/>
    <tableColumn name="PURPOSE OF USED " id="8"/>
    <tableColumn name="Column 7" id="9"/>
    <tableColumn name="UNIT'S  2" id="10"/>
  </tableColumns>
  <tableStyleInfo name="DAILY VEGITABLES SUPPLYS -style" showColumnStripes="0" showFirstColumn="1" showLastColumn="1" showRowStripes="1"/>
</table>
</file>

<file path=xl/tables/table2.xml><?xml version="1.0" encoding="utf-8"?>
<table xmlns="http://schemas.openxmlformats.org/spreadsheetml/2006/main" ref="A1:J260" displayName="Form_Responses3" name="Form_Responses3" id="2">
  <tableColumns count="10">
    <tableColumn name="Timestamp" id="1"/>
    <tableColumn name="Score" id="2"/>
    <tableColumn name="NAME OF ITEM" id="3"/>
    <tableColumn name="DATE OF ISSUED " id="4"/>
    <tableColumn name="QUANTITY ISSUED " id="5"/>
    <tableColumn name="PURPOSE OF USED " id="6"/>
    <tableColumn name="ISSUED TO" id="7"/>
    <tableColumn name="ISSUED BY" id="8"/>
    <tableColumn name="PARTICULARS FOR EXTRA COOKING " id="9"/>
    <tableColumn name="PURPOSE OF USING " id="10"/>
  </tableColumns>
  <tableStyleInfo name="DAILY GROCERUES SUPPLYS  -style" showColumnStripes="0" showFirstColumn="1" showLastColumn="1" showRowStripes="1"/>
</table>
</file>

<file path=xl/tables/table3.xml><?xml version="1.0" encoding="utf-8"?>
<table xmlns="http://schemas.openxmlformats.org/spreadsheetml/2006/main" ref="A1:F3" displayName="Form_Responses" name="Form_Responses" id="3">
  <tableColumns count="6">
    <tableColumn name="Timestamp" id="1"/>
    <tableColumn name="Item Name" id="2"/>
    <tableColumn name="UOM" id="3"/>
    <tableColumn name="AVAILABLE QUANTITY " id="4"/>
    <tableColumn name="EXP DATE" id="5"/>
    <tableColumn name="DATE OF VERIFIED " id="6"/>
  </tableColumns>
  <tableStyleInfo name="GROCERUES AVILABLE STOCK-style" showColumnStripes="0" showFirstColumn="1" showLastColumn="1" showRowStripes="1"/>
</table>
</file>

<file path=xl/tables/table4.xml><?xml version="1.0" encoding="utf-8"?>
<table xmlns="http://schemas.openxmlformats.org/spreadsheetml/2006/main" headerRowCount="0" ref="A1:D1" displayName="Form_Responses2" name="Form_Responses2" id="4">
  <tableColumns count="4">
    <tableColumn name="Column1" id="1"/>
    <tableColumn name="Column2" id="2"/>
    <tableColumn name="Column3" id="3"/>
    <tableColumn name="Column4" id="4"/>
  </tableColumns>
  <tableStyleInfo name="ORDER  VEGITABLES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ref="A1:K113" displayName="VEGITABLES" name="VEGITABLES" id="5">
  <tableColumns count="11">
    <tableColumn name="Timestamp" id="1"/>
    <tableColumn name="Score" id="2"/>
    <tableColumn name="ITEM NAME" id="3"/>
    <tableColumn name="QUANTITY " id="4"/>
    <tableColumn name="QTY " id="5"/>
    <tableColumn name="PARTICULERS FOR COKING " id="6"/>
    <tableColumn name="USING ON " id="7"/>
    <tableColumn name="SUPPLIER NAME" id="8"/>
    <tableColumn name="UNIT PRICE" id="9"/>
    <tableColumn name="Cost of All Units" id="10"/>
    <tableColumn name=" DATE OF PURCHASED " id="11"/>
  </tableColumns>
  <tableStyleInfo name="VEGITABLES PURCHESE -style" showColumnStripes="0" showFirstColumn="1" showLastColumn="1" showRowStripes="1"/>
</table>
</file>

<file path=xl/tables/table6.xml><?xml version="1.0" encoding="utf-8"?>
<table xmlns="http://schemas.openxmlformats.org/spreadsheetml/2006/main" ref="A1:J9" displayName="GROCERYS_" name="GROCERYS_" id="6">
  <tableColumns count="10">
    <tableColumn name="Timestamp" id="1"/>
    <tableColumn name="NAME OF THE ITEM" id="2"/>
    <tableColumn name="Bill No/Invoice No" id="3"/>
    <tableColumn name="Purchased-Item Company" id="4"/>
    <tableColumn name="UOM" id="5"/>
    <tableColumn name="QTY" id="6"/>
    <tableColumn name="UNIT PRICE" id="7"/>
    <tableColumn name="Cost of All Units" id="8"/>
    <tableColumn name="Purchased From(Shop Name)" id="9"/>
    <tableColumn name="DATE OF PURCHASED " id="10"/>
  </tableColumns>
  <tableStyleInfo name="GROCERYS PURCHASE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17.88"/>
    <col customWidth="1" min="3" max="3" width="9.88"/>
    <col customWidth="1" min="4" max="4" width="10.5"/>
    <col customWidth="1" min="5" max="5" width="11.25"/>
    <col customWidth="1" min="6" max="6" width="13.5"/>
    <col customWidth="1" min="7" max="7" width="20.63"/>
    <col customWidth="1" min="8" max="8" width="14.88"/>
    <col customWidth="1" min="9" max="9" width="12.63"/>
    <col customWidth="1" min="10" max="10" width="10.5"/>
    <col customWidth="1" min="11" max="16" width="14.63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/>
      <c r="L1" s="4"/>
      <c r="M1" s="4"/>
      <c r="N1" s="4"/>
      <c r="O1" s="4"/>
      <c r="P1" s="4"/>
    </row>
    <row r="2" ht="22.5" customHeight="1">
      <c r="A2" s="5">
        <v>46176.40250747685</v>
      </c>
      <c r="B2" s="6" t="s">
        <v>10</v>
      </c>
      <c r="C2" s="7">
        <v>46176.0</v>
      </c>
      <c r="D2" s="8"/>
      <c r="E2" s="6" t="s">
        <v>11</v>
      </c>
      <c r="F2" s="6" t="s">
        <v>12</v>
      </c>
      <c r="G2" s="6" t="s">
        <v>13</v>
      </c>
      <c r="H2" s="6" t="s">
        <v>14</v>
      </c>
      <c r="I2" s="8"/>
      <c r="J2" s="8"/>
      <c r="K2" s="9"/>
      <c r="L2" s="9"/>
      <c r="M2" s="9"/>
      <c r="N2" s="9"/>
      <c r="O2" s="9"/>
      <c r="P2" s="9"/>
    </row>
    <row r="3" ht="22.5" customHeight="1">
      <c r="A3" s="10">
        <v>46176.402993958334</v>
      </c>
      <c r="B3" s="11" t="s">
        <v>15</v>
      </c>
      <c r="C3" s="12">
        <v>46176.0</v>
      </c>
      <c r="D3" s="13"/>
      <c r="E3" s="11" t="s">
        <v>16</v>
      </c>
      <c r="F3" s="11" t="s">
        <v>17</v>
      </c>
      <c r="G3" s="11" t="s">
        <v>13</v>
      </c>
      <c r="H3" s="11" t="s">
        <v>14</v>
      </c>
      <c r="I3" s="13"/>
      <c r="J3" s="13"/>
      <c r="K3" s="9"/>
      <c r="L3" s="9"/>
      <c r="M3" s="9"/>
      <c r="N3" s="9"/>
      <c r="O3" s="9"/>
      <c r="P3" s="9"/>
    </row>
    <row r="4" ht="22.5" customHeight="1">
      <c r="A4" s="10">
        <v>46176.40341648148</v>
      </c>
      <c r="B4" s="11" t="s">
        <v>18</v>
      </c>
      <c r="C4" s="12">
        <v>46176.0</v>
      </c>
      <c r="D4" s="13"/>
      <c r="E4" s="11" t="s">
        <v>19</v>
      </c>
      <c r="F4" s="11" t="s">
        <v>17</v>
      </c>
      <c r="G4" s="11" t="s">
        <v>13</v>
      </c>
      <c r="H4" s="11" t="s">
        <v>20</v>
      </c>
      <c r="I4" s="13"/>
      <c r="J4" s="13"/>
      <c r="K4" s="9"/>
      <c r="L4" s="9"/>
      <c r="M4" s="9"/>
      <c r="N4" s="9"/>
      <c r="O4" s="9"/>
      <c r="P4" s="9"/>
    </row>
    <row r="5" ht="22.5" customHeight="1">
      <c r="A5" s="10">
        <v>46176.404153599535</v>
      </c>
      <c r="B5" s="11" t="s">
        <v>21</v>
      </c>
      <c r="C5" s="12">
        <v>46176.0</v>
      </c>
      <c r="D5" s="13"/>
      <c r="E5" s="11">
        <v>1.0</v>
      </c>
      <c r="F5" s="11" t="s">
        <v>17</v>
      </c>
      <c r="G5" s="11" t="s">
        <v>13</v>
      </c>
      <c r="H5" s="11" t="s">
        <v>20</v>
      </c>
      <c r="I5" s="13"/>
      <c r="J5" s="13"/>
      <c r="K5" s="9"/>
      <c r="L5" s="9"/>
      <c r="M5" s="9"/>
      <c r="N5" s="9"/>
      <c r="O5" s="9"/>
      <c r="P5" s="9"/>
    </row>
    <row r="6" ht="22.5" customHeight="1">
      <c r="A6" s="10">
        <v>46176.4045515162</v>
      </c>
      <c r="B6" s="11" t="s">
        <v>22</v>
      </c>
      <c r="C6" s="12">
        <v>46176.0</v>
      </c>
      <c r="D6" s="13"/>
      <c r="E6" s="11" t="s">
        <v>11</v>
      </c>
      <c r="F6" s="11" t="s">
        <v>17</v>
      </c>
      <c r="G6" s="11" t="s">
        <v>13</v>
      </c>
      <c r="H6" s="11" t="s">
        <v>20</v>
      </c>
      <c r="I6" s="13"/>
      <c r="J6" s="13"/>
      <c r="K6" s="9"/>
      <c r="L6" s="9"/>
      <c r="M6" s="9"/>
      <c r="N6" s="9"/>
      <c r="O6" s="9"/>
      <c r="P6" s="9"/>
    </row>
    <row r="7" ht="22.5" customHeight="1">
      <c r="A7" s="10">
        <v>46176.404986435184</v>
      </c>
      <c r="B7" s="11" t="s">
        <v>23</v>
      </c>
      <c r="C7" s="12">
        <v>46176.0</v>
      </c>
      <c r="D7" s="13"/>
      <c r="E7" s="11">
        <v>1.0</v>
      </c>
      <c r="F7" s="11" t="s">
        <v>17</v>
      </c>
      <c r="G7" s="11" t="s">
        <v>13</v>
      </c>
      <c r="H7" s="11" t="s">
        <v>20</v>
      </c>
      <c r="I7" s="13"/>
      <c r="J7" s="13"/>
      <c r="K7" s="9"/>
      <c r="L7" s="9"/>
      <c r="M7" s="9"/>
      <c r="N7" s="9"/>
      <c r="O7" s="9"/>
      <c r="P7" s="9"/>
    </row>
    <row r="8" ht="22.5" customHeight="1">
      <c r="A8" s="10">
        <v>46176.406179224534</v>
      </c>
      <c r="B8" s="11" t="s">
        <v>24</v>
      </c>
      <c r="C8" s="12">
        <v>46176.0</v>
      </c>
      <c r="D8" s="13"/>
      <c r="E8" s="11" t="s">
        <v>25</v>
      </c>
      <c r="F8" s="11" t="s">
        <v>17</v>
      </c>
      <c r="G8" s="11" t="s">
        <v>13</v>
      </c>
      <c r="H8" s="11" t="s">
        <v>14</v>
      </c>
      <c r="I8" s="13"/>
      <c r="J8" s="13"/>
      <c r="K8" s="9"/>
      <c r="L8" s="9"/>
      <c r="M8" s="9"/>
      <c r="N8" s="9"/>
      <c r="O8" s="9"/>
      <c r="P8" s="9"/>
    </row>
    <row r="9" ht="22.5" customHeight="1">
      <c r="A9" s="10">
        <v>46176.40711796297</v>
      </c>
      <c r="B9" s="11" t="s">
        <v>10</v>
      </c>
      <c r="C9" s="12">
        <v>46176.0</v>
      </c>
      <c r="D9" s="13"/>
      <c r="E9" s="11" t="s">
        <v>26</v>
      </c>
      <c r="F9" s="11" t="s">
        <v>17</v>
      </c>
      <c r="G9" s="11" t="s">
        <v>13</v>
      </c>
      <c r="H9" s="11" t="s">
        <v>14</v>
      </c>
      <c r="I9" s="13"/>
      <c r="J9" s="13"/>
      <c r="K9" s="9"/>
      <c r="L9" s="9"/>
      <c r="M9" s="9"/>
      <c r="N9" s="9"/>
      <c r="O9" s="9"/>
      <c r="P9" s="9"/>
    </row>
    <row r="10" ht="22.5" customHeight="1">
      <c r="A10" s="10">
        <v>46176.40773140047</v>
      </c>
      <c r="B10" s="11" t="s">
        <v>15</v>
      </c>
      <c r="C10" s="12">
        <v>46176.0</v>
      </c>
      <c r="D10" s="13"/>
      <c r="E10" s="11" t="s">
        <v>27</v>
      </c>
      <c r="F10" s="11" t="s">
        <v>17</v>
      </c>
      <c r="G10" s="11" t="s">
        <v>13</v>
      </c>
      <c r="H10" s="11" t="s">
        <v>14</v>
      </c>
      <c r="I10" s="13"/>
      <c r="J10" s="13"/>
      <c r="K10" s="9"/>
      <c r="L10" s="9"/>
      <c r="M10" s="9"/>
      <c r="N10" s="9"/>
      <c r="O10" s="9"/>
      <c r="P10" s="9"/>
    </row>
    <row r="11" ht="22.5" customHeight="1">
      <c r="A11" s="10">
        <v>46176.40818490741</v>
      </c>
      <c r="B11" s="11" t="s">
        <v>28</v>
      </c>
      <c r="C11" s="12">
        <v>46176.0</v>
      </c>
      <c r="D11" s="13"/>
      <c r="E11" s="11" t="s">
        <v>29</v>
      </c>
      <c r="F11" s="11" t="s">
        <v>30</v>
      </c>
      <c r="G11" s="11" t="s">
        <v>13</v>
      </c>
      <c r="H11" s="11" t="s">
        <v>14</v>
      </c>
      <c r="I11" s="13"/>
      <c r="J11" s="13"/>
      <c r="K11" s="9"/>
      <c r="L11" s="9"/>
      <c r="M11" s="9"/>
      <c r="N11" s="9"/>
      <c r="O11" s="9"/>
      <c r="P11" s="9"/>
    </row>
    <row r="12" ht="22.5" customHeight="1">
      <c r="A12" s="10">
        <v>46176.40881079861</v>
      </c>
      <c r="B12" s="11" t="s">
        <v>31</v>
      </c>
      <c r="C12" s="12">
        <v>46176.0</v>
      </c>
      <c r="D12" s="13"/>
      <c r="E12" s="11" t="s">
        <v>11</v>
      </c>
      <c r="F12" s="11" t="s">
        <v>17</v>
      </c>
      <c r="G12" s="11" t="s">
        <v>13</v>
      </c>
      <c r="H12" s="11" t="s">
        <v>14</v>
      </c>
      <c r="I12" s="13"/>
      <c r="J12" s="13"/>
      <c r="K12" s="9"/>
      <c r="L12" s="9"/>
      <c r="M12" s="9"/>
      <c r="N12" s="9"/>
      <c r="O12" s="9"/>
      <c r="P12" s="9"/>
    </row>
    <row r="13" ht="22.5" customHeight="1">
      <c r="A13" s="10">
        <v>46176.40928180555</v>
      </c>
      <c r="B13" s="11" t="s">
        <v>32</v>
      </c>
      <c r="C13" s="12">
        <v>46176.0</v>
      </c>
      <c r="D13" s="13"/>
      <c r="E13" s="11" t="s">
        <v>33</v>
      </c>
      <c r="F13" s="11" t="s">
        <v>17</v>
      </c>
      <c r="G13" s="11" t="s">
        <v>13</v>
      </c>
      <c r="H13" s="11" t="s">
        <v>14</v>
      </c>
      <c r="I13" s="13"/>
      <c r="J13" s="13"/>
      <c r="K13" s="9"/>
      <c r="L13" s="9"/>
      <c r="M13" s="9"/>
      <c r="N13" s="9"/>
      <c r="O13" s="9"/>
      <c r="P13" s="9"/>
    </row>
    <row r="14" ht="22.5" customHeight="1">
      <c r="A14" s="10">
        <v>46176.410290520835</v>
      </c>
      <c r="B14" s="11" t="s">
        <v>23</v>
      </c>
      <c r="C14" s="12">
        <v>46176.0</v>
      </c>
      <c r="D14" s="13"/>
      <c r="E14" s="11">
        <v>1.0</v>
      </c>
      <c r="F14" s="11" t="s">
        <v>17</v>
      </c>
      <c r="G14" s="11" t="s">
        <v>13</v>
      </c>
      <c r="H14" s="11" t="s">
        <v>14</v>
      </c>
      <c r="I14" s="13"/>
      <c r="J14" s="13"/>
      <c r="K14" s="9"/>
      <c r="L14" s="9"/>
      <c r="M14" s="9"/>
      <c r="N14" s="9"/>
      <c r="O14" s="9"/>
      <c r="P14" s="9"/>
    </row>
    <row r="15" ht="22.5" customHeight="1">
      <c r="A15" s="10">
        <v>46178.657524803246</v>
      </c>
      <c r="B15" s="11" t="s">
        <v>28</v>
      </c>
      <c r="C15" s="12">
        <v>46178.0</v>
      </c>
      <c r="D15" s="13"/>
      <c r="E15" s="11" t="s">
        <v>26</v>
      </c>
      <c r="F15" s="11" t="s">
        <v>30</v>
      </c>
      <c r="G15" s="11" t="s">
        <v>34</v>
      </c>
      <c r="H15" s="11" t="s">
        <v>35</v>
      </c>
      <c r="I15" s="13"/>
      <c r="J15" s="13"/>
      <c r="K15" s="14"/>
      <c r="L15" s="14"/>
      <c r="M15" s="14"/>
      <c r="N15" s="14"/>
      <c r="O15" s="14"/>
      <c r="P15" s="14"/>
    </row>
    <row r="16" ht="22.5" customHeight="1">
      <c r="A16" s="10">
        <v>46178.65855554398</v>
      </c>
      <c r="B16" s="11" t="s">
        <v>23</v>
      </c>
      <c r="C16" s="12">
        <v>46178.0</v>
      </c>
      <c r="D16" s="13"/>
      <c r="E16" s="11">
        <v>4.0</v>
      </c>
      <c r="F16" s="11" t="s">
        <v>30</v>
      </c>
      <c r="G16" s="11" t="s">
        <v>34</v>
      </c>
      <c r="H16" s="11" t="s">
        <v>35</v>
      </c>
      <c r="I16" s="13"/>
      <c r="J16" s="13"/>
      <c r="K16" s="14"/>
      <c r="L16" s="14"/>
      <c r="M16" s="14"/>
      <c r="N16" s="14"/>
      <c r="O16" s="14"/>
      <c r="P16" s="14"/>
    </row>
    <row r="17" ht="22.5" customHeight="1">
      <c r="A17" s="10">
        <v>46178.66032866898</v>
      </c>
      <c r="B17" s="11" t="s">
        <v>10</v>
      </c>
      <c r="C17" s="12">
        <v>46178.0</v>
      </c>
      <c r="D17" s="13"/>
      <c r="E17" s="11" t="s">
        <v>36</v>
      </c>
      <c r="F17" s="11" t="s">
        <v>17</v>
      </c>
      <c r="G17" s="11" t="s">
        <v>34</v>
      </c>
      <c r="H17" s="11" t="s">
        <v>35</v>
      </c>
      <c r="I17" s="13"/>
      <c r="J17" s="13"/>
      <c r="K17" s="14"/>
      <c r="L17" s="14"/>
      <c r="M17" s="14"/>
      <c r="N17" s="14"/>
      <c r="O17" s="14"/>
      <c r="P17" s="14"/>
    </row>
    <row r="18" ht="22.5" customHeight="1">
      <c r="A18" s="10">
        <v>46178.66104502315</v>
      </c>
      <c r="B18" s="11" t="s">
        <v>37</v>
      </c>
      <c r="C18" s="12">
        <v>46178.0</v>
      </c>
      <c r="D18" s="13"/>
      <c r="E18" s="11" t="s">
        <v>38</v>
      </c>
      <c r="F18" s="11" t="s">
        <v>30</v>
      </c>
      <c r="G18" s="11" t="s">
        <v>34</v>
      </c>
      <c r="H18" s="11" t="s">
        <v>39</v>
      </c>
      <c r="I18" s="13"/>
      <c r="J18" s="13"/>
      <c r="K18" s="14"/>
      <c r="L18" s="14"/>
      <c r="M18" s="14"/>
      <c r="N18" s="14"/>
      <c r="O18" s="14"/>
      <c r="P18" s="14"/>
    </row>
    <row r="19" ht="22.5" customHeight="1">
      <c r="A19" s="10">
        <v>46178.66181706019</v>
      </c>
      <c r="B19" s="11" t="s">
        <v>40</v>
      </c>
      <c r="C19" s="12">
        <v>46178.0</v>
      </c>
      <c r="D19" s="13"/>
      <c r="E19" s="11" t="s">
        <v>36</v>
      </c>
      <c r="F19" s="11" t="s">
        <v>17</v>
      </c>
      <c r="G19" s="11" t="s">
        <v>34</v>
      </c>
      <c r="H19" s="11" t="s">
        <v>39</v>
      </c>
      <c r="I19" s="13"/>
      <c r="J19" s="13"/>
      <c r="K19" s="14"/>
      <c r="L19" s="14"/>
      <c r="M19" s="14"/>
      <c r="N19" s="14"/>
      <c r="O19" s="14"/>
      <c r="P19" s="14"/>
    </row>
    <row r="20" ht="22.5" customHeight="1">
      <c r="A20" s="10">
        <v>46178.66241311343</v>
      </c>
      <c r="B20" s="11" t="s">
        <v>22</v>
      </c>
      <c r="C20" s="12">
        <v>46178.0</v>
      </c>
      <c r="D20" s="13"/>
      <c r="E20" s="11" t="s">
        <v>29</v>
      </c>
      <c r="F20" s="11" t="s">
        <v>30</v>
      </c>
      <c r="G20" s="11" t="s">
        <v>34</v>
      </c>
      <c r="H20" s="11" t="s">
        <v>39</v>
      </c>
      <c r="I20" s="13"/>
      <c r="J20" s="13"/>
      <c r="K20" s="14"/>
      <c r="L20" s="14"/>
      <c r="M20" s="14"/>
      <c r="N20" s="14"/>
      <c r="O20" s="14"/>
      <c r="P20" s="14"/>
    </row>
    <row r="21" ht="22.5" customHeight="1">
      <c r="A21" s="10">
        <v>46178.663076296296</v>
      </c>
      <c r="B21" s="11" t="s">
        <v>15</v>
      </c>
      <c r="C21" s="12">
        <v>46178.0</v>
      </c>
      <c r="D21" s="13"/>
      <c r="E21" s="11" t="s">
        <v>41</v>
      </c>
      <c r="F21" s="11" t="s">
        <v>30</v>
      </c>
      <c r="G21" s="11" t="s">
        <v>34</v>
      </c>
      <c r="H21" s="11" t="s">
        <v>39</v>
      </c>
      <c r="I21" s="13"/>
      <c r="J21" s="13"/>
      <c r="K21" s="14"/>
      <c r="L21" s="14"/>
      <c r="M21" s="14"/>
      <c r="N21" s="14"/>
      <c r="O21" s="14"/>
      <c r="P21" s="14"/>
    </row>
    <row r="22" ht="22.5" customHeight="1">
      <c r="A22" s="10">
        <v>46178.664918043985</v>
      </c>
      <c r="B22" s="11" t="s">
        <v>42</v>
      </c>
      <c r="C22" s="12">
        <v>46178.0</v>
      </c>
      <c r="D22" s="13"/>
      <c r="E22" s="11" t="s">
        <v>19</v>
      </c>
      <c r="F22" s="11" t="s">
        <v>17</v>
      </c>
      <c r="G22" s="11" t="s">
        <v>34</v>
      </c>
      <c r="H22" s="11" t="s">
        <v>43</v>
      </c>
      <c r="I22" s="13"/>
      <c r="J22" s="13"/>
      <c r="K22" s="14"/>
      <c r="L22" s="14"/>
      <c r="M22" s="14"/>
      <c r="N22" s="14"/>
      <c r="O22" s="14"/>
      <c r="P22" s="14"/>
    </row>
    <row r="23" ht="22.5" customHeight="1">
      <c r="A23" s="10">
        <v>46179.67461256945</v>
      </c>
      <c r="B23" s="11" t="s">
        <v>18</v>
      </c>
      <c r="C23" s="12">
        <v>46179.0</v>
      </c>
      <c r="D23" s="13"/>
      <c r="E23" s="11" t="s">
        <v>44</v>
      </c>
      <c r="F23" s="11" t="s">
        <v>17</v>
      </c>
      <c r="G23" s="11" t="s">
        <v>34</v>
      </c>
      <c r="H23" s="11" t="s">
        <v>35</v>
      </c>
      <c r="I23" s="13"/>
      <c r="J23" s="13"/>
      <c r="K23" s="14"/>
      <c r="L23" s="14"/>
      <c r="M23" s="14"/>
      <c r="N23" s="14"/>
      <c r="O23" s="14"/>
      <c r="P23" s="14"/>
    </row>
    <row r="24" ht="22.5" customHeight="1">
      <c r="A24" s="10">
        <v>46179.67563525463</v>
      </c>
      <c r="B24" s="11" t="s">
        <v>10</v>
      </c>
      <c r="C24" s="12">
        <v>46179.0</v>
      </c>
      <c r="D24" s="13"/>
      <c r="E24" s="11" t="s">
        <v>29</v>
      </c>
      <c r="F24" s="11" t="s">
        <v>17</v>
      </c>
      <c r="G24" s="11" t="s">
        <v>34</v>
      </c>
      <c r="H24" s="11" t="s">
        <v>35</v>
      </c>
      <c r="I24" s="13"/>
      <c r="J24" s="13"/>
      <c r="K24" s="14"/>
      <c r="L24" s="14"/>
      <c r="M24" s="14"/>
      <c r="N24" s="14"/>
      <c r="O24" s="14"/>
      <c r="P24" s="14"/>
    </row>
    <row r="25" ht="22.5" customHeight="1">
      <c r="A25" s="10">
        <v>46179.6766600463</v>
      </c>
      <c r="B25" s="11" t="s">
        <v>28</v>
      </c>
      <c r="C25" s="12">
        <v>46179.0</v>
      </c>
      <c r="D25" s="13"/>
      <c r="E25" s="11" t="s">
        <v>19</v>
      </c>
      <c r="F25" s="11" t="s">
        <v>17</v>
      </c>
      <c r="G25" s="11" t="s">
        <v>34</v>
      </c>
      <c r="H25" s="11" t="s">
        <v>35</v>
      </c>
      <c r="I25" s="13"/>
      <c r="J25" s="13"/>
      <c r="K25" s="14"/>
      <c r="L25" s="14"/>
      <c r="M25" s="14"/>
      <c r="N25" s="14"/>
      <c r="O25" s="14"/>
      <c r="P25" s="14"/>
    </row>
    <row r="26" ht="22.5" customHeight="1">
      <c r="A26" s="10">
        <v>46180.49511297454</v>
      </c>
      <c r="B26" s="11" t="s">
        <v>31</v>
      </c>
      <c r="C26" s="12">
        <v>46180.0</v>
      </c>
      <c r="D26" s="13"/>
      <c r="E26" s="11" t="s">
        <v>11</v>
      </c>
      <c r="F26" s="11" t="s">
        <v>17</v>
      </c>
      <c r="G26" s="11" t="s">
        <v>13</v>
      </c>
      <c r="H26" s="11" t="s">
        <v>45</v>
      </c>
      <c r="I26" s="13"/>
      <c r="J26" s="13"/>
      <c r="K26" s="14"/>
      <c r="L26" s="14"/>
      <c r="M26" s="14"/>
      <c r="N26" s="14"/>
      <c r="O26" s="14"/>
      <c r="P26" s="14"/>
    </row>
    <row r="27" ht="22.5" customHeight="1">
      <c r="A27" s="10">
        <v>46180.49565789352</v>
      </c>
      <c r="B27" s="11" t="s">
        <v>32</v>
      </c>
      <c r="C27" s="12">
        <v>46180.0</v>
      </c>
      <c r="D27" s="13"/>
      <c r="E27" s="11" t="s">
        <v>33</v>
      </c>
      <c r="F27" s="11" t="s">
        <v>17</v>
      </c>
      <c r="G27" s="11" t="s">
        <v>13</v>
      </c>
      <c r="H27" s="11" t="s">
        <v>45</v>
      </c>
      <c r="I27" s="13"/>
      <c r="J27" s="13"/>
      <c r="K27" s="14"/>
      <c r="L27" s="14"/>
      <c r="M27" s="14"/>
      <c r="N27" s="14"/>
      <c r="O27" s="14"/>
      <c r="P27" s="14"/>
    </row>
    <row r="28" ht="22.5" customHeight="1">
      <c r="A28" s="10">
        <v>46180.496101666664</v>
      </c>
      <c r="B28" s="11" t="s">
        <v>28</v>
      </c>
      <c r="C28" s="12">
        <v>46180.0</v>
      </c>
      <c r="D28" s="13"/>
      <c r="E28" s="11" t="s">
        <v>29</v>
      </c>
      <c r="F28" s="11" t="s">
        <v>17</v>
      </c>
      <c r="G28" s="11" t="s">
        <v>13</v>
      </c>
      <c r="H28" s="11" t="s">
        <v>45</v>
      </c>
      <c r="I28" s="13"/>
      <c r="J28" s="13"/>
      <c r="K28" s="14"/>
      <c r="L28" s="14"/>
      <c r="M28" s="14"/>
      <c r="N28" s="14"/>
      <c r="O28" s="14"/>
      <c r="P28" s="14"/>
    </row>
    <row r="29" ht="22.5" customHeight="1">
      <c r="A29" s="10">
        <v>46180.49646923611</v>
      </c>
      <c r="B29" s="11" t="s">
        <v>15</v>
      </c>
      <c r="C29" s="12">
        <v>46180.0</v>
      </c>
      <c r="D29" s="13"/>
      <c r="E29" s="11" t="s">
        <v>11</v>
      </c>
      <c r="F29" s="11" t="s">
        <v>17</v>
      </c>
      <c r="G29" s="11" t="s">
        <v>13</v>
      </c>
      <c r="H29" s="11" t="s">
        <v>45</v>
      </c>
      <c r="I29" s="13"/>
      <c r="J29" s="13"/>
      <c r="K29" s="14"/>
      <c r="L29" s="14"/>
      <c r="M29" s="14"/>
      <c r="N29" s="14"/>
      <c r="O29" s="14"/>
      <c r="P29" s="14"/>
    </row>
    <row r="30" ht="22.5" customHeight="1">
      <c r="A30" s="10">
        <v>46180.49705164351</v>
      </c>
      <c r="B30" s="11" t="s">
        <v>23</v>
      </c>
      <c r="C30" s="12">
        <v>46180.0</v>
      </c>
      <c r="D30" s="13"/>
      <c r="E30" s="11" t="s">
        <v>46</v>
      </c>
      <c r="F30" s="11" t="s">
        <v>17</v>
      </c>
      <c r="G30" s="11" t="s">
        <v>13</v>
      </c>
      <c r="H30" s="11" t="s">
        <v>45</v>
      </c>
      <c r="I30" s="13"/>
      <c r="J30" s="13"/>
      <c r="K30" s="14"/>
      <c r="L30" s="14"/>
      <c r="M30" s="14"/>
      <c r="N30" s="14"/>
      <c r="O30" s="14"/>
      <c r="P30" s="14"/>
    </row>
    <row r="31" ht="22.5" customHeight="1">
      <c r="A31" s="10">
        <v>46180.49756503472</v>
      </c>
      <c r="B31" s="11" t="s">
        <v>21</v>
      </c>
      <c r="C31" s="12">
        <v>46180.0</v>
      </c>
      <c r="D31" s="13"/>
      <c r="E31" s="11" t="s">
        <v>47</v>
      </c>
      <c r="F31" s="11" t="s">
        <v>17</v>
      </c>
      <c r="G31" s="11" t="s">
        <v>13</v>
      </c>
      <c r="H31" s="11" t="s">
        <v>45</v>
      </c>
      <c r="I31" s="13"/>
      <c r="J31" s="13"/>
      <c r="K31" s="14"/>
      <c r="L31" s="14"/>
      <c r="M31" s="14"/>
      <c r="N31" s="14"/>
      <c r="O31" s="14"/>
      <c r="P31" s="14"/>
    </row>
    <row r="32" ht="22.5" customHeight="1">
      <c r="A32" s="10">
        <v>46180.498044305554</v>
      </c>
      <c r="B32" s="11" t="s">
        <v>24</v>
      </c>
      <c r="C32" s="12">
        <v>46180.0</v>
      </c>
      <c r="D32" s="13"/>
      <c r="E32" s="11" t="s">
        <v>48</v>
      </c>
      <c r="F32" s="11" t="s">
        <v>17</v>
      </c>
      <c r="G32" s="11" t="s">
        <v>13</v>
      </c>
      <c r="H32" s="11" t="s">
        <v>45</v>
      </c>
      <c r="I32" s="13"/>
      <c r="J32" s="13"/>
      <c r="K32" s="14"/>
      <c r="L32" s="14"/>
      <c r="M32" s="14"/>
      <c r="N32" s="14"/>
      <c r="O32" s="14"/>
      <c r="P32" s="14"/>
    </row>
    <row r="33" ht="22.5" customHeight="1">
      <c r="A33" s="10">
        <v>46180.49849957176</v>
      </c>
      <c r="B33" s="11" t="s">
        <v>49</v>
      </c>
      <c r="C33" s="12">
        <v>46180.0</v>
      </c>
      <c r="D33" s="13"/>
      <c r="E33" s="11" t="s">
        <v>50</v>
      </c>
      <c r="F33" s="11" t="s">
        <v>17</v>
      </c>
      <c r="G33" s="11" t="s">
        <v>13</v>
      </c>
      <c r="H33" s="11" t="s">
        <v>45</v>
      </c>
      <c r="I33" s="13"/>
      <c r="J33" s="13"/>
      <c r="K33" s="14"/>
      <c r="L33" s="14"/>
      <c r="M33" s="14"/>
      <c r="N33" s="14"/>
      <c r="O33" s="14"/>
      <c r="P33" s="14"/>
    </row>
    <row r="34" ht="22.5" customHeight="1">
      <c r="A34" s="10">
        <v>46180.498832812504</v>
      </c>
      <c r="B34" s="11" t="s">
        <v>51</v>
      </c>
      <c r="C34" s="12">
        <v>46180.0</v>
      </c>
      <c r="D34" s="13"/>
      <c r="E34" s="11">
        <v>10.0</v>
      </c>
      <c r="F34" s="11" t="s">
        <v>17</v>
      </c>
      <c r="G34" s="11" t="s">
        <v>13</v>
      </c>
      <c r="H34" s="11" t="s">
        <v>45</v>
      </c>
      <c r="I34" s="13"/>
      <c r="J34" s="13"/>
      <c r="K34" s="14"/>
      <c r="L34" s="14"/>
      <c r="M34" s="14"/>
      <c r="N34" s="14"/>
      <c r="O34" s="14"/>
      <c r="P34" s="14"/>
    </row>
    <row r="35" ht="22.5" customHeight="1">
      <c r="A35" s="10">
        <v>46180.49931640046</v>
      </c>
      <c r="B35" s="11" t="s">
        <v>10</v>
      </c>
      <c r="C35" s="12">
        <v>46180.0</v>
      </c>
      <c r="D35" s="13"/>
      <c r="E35" s="11" t="s">
        <v>52</v>
      </c>
      <c r="F35" s="11" t="s">
        <v>17</v>
      </c>
      <c r="G35" s="11" t="s">
        <v>13</v>
      </c>
      <c r="H35" s="11" t="s">
        <v>45</v>
      </c>
      <c r="I35" s="13"/>
      <c r="J35" s="13"/>
      <c r="K35" s="14"/>
      <c r="L35" s="14"/>
      <c r="M35" s="14"/>
      <c r="N35" s="14"/>
      <c r="O35" s="14"/>
      <c r="P35" s="14"/>
    </row>
    <row r="36" ht="22.5" customHeight="1">
      <c r="A36" s="10">
        <v>46181.71322733797</v>
      </c>
      <c r="B36" s="11" t="s">
        <v>53</v>
      </c>
      <c r="C36" s="12">
        <v>46178.0</v>
      </c>
      <c r="D36" s="13"/>
      <c r="E36" s="11">
        <v>5.0</v>
      </c>
      <c r="F36" s="11" t="s">
        <v>17</v>
      </c>
      <c r="G36" s="11" t="s">
        <v>34</v>
      </c>
      <c r="H36" s="11" t="s">
        <v>35</v>
      </c>
      <c r="I36" s="13"/>
      <c r="J36" s="13"/>
      <c r="K36" s="14"/>
      <c r="L36" s="14"/>
      <c r="M36" s="14"/>
      <c r="N36" s="14"/>
      <c r="O36" s="14"/>
      <c r="P36" s="14"/>
    </row>
    <row r="37" ht="22.5" customHeight="1">
      <c r="A37" s="10">
        <v>46181.71367989584</v>
      </c>
      <c r="B37" s="11" t="s">
        <v>28</v>
      </c>
      <c r="C37" s="12">
        <v>46178.0</v>
      </c>
      <c r="D37" s="13"/>
      <c r="E37" s="11" t="s">
        <v>54</v>
      </c>
      <c r="F37" s="11" t="s">
        <v>17</v>
      </c>
      <c r="G37" s="11" t="s">
        <v>34</v>
      </c>
      <c r="H37" s="11" t="s">
        <v>35</v>
      </c>
      <c r="I37" s="13"/>
      <c r="J37" s="13"/>
      <c r="K37" s="14"/>
      <c r="L37" s="14"/>
      <c r="M37" s="14"/>
      <c r="N37" s="14"/>
      <c r="O37" s="14"/>
      <c r="P37" s="14"/>
    </row>
    <row r="38" ht="22.5" customHeight="1">
      <c r="A38" s="10">
        <v>46181.71445133102</v>
      </c>
      <c r="B38" s="11" t="s">
        <v>10</v>
      </c>
      <c r="C38" s="12">
        <v>46178.0</v>
      </c>
      <c r="D38" s="13"/>
      <c r="E38" s="11" t="s">
        <v>54</v>
      </c>
      <c r="F38" s="11" t="s">
        <v>17</v>
      </c>
      <c r="G38" s="11" t="s">
        <v>34</v>
      </c>
      <c r="H38" s="11" t="s">
        <v>35</v>
      </c>
      <c r="I38" s="13"/>
      <c r="J38" s="13"/>
      <c r="K38" s="14"/>
      <c r="L38" s="14"/>
      <c r="M38" s="14"/>
      <c r="N38" s="14"/>
      <c r="O38" s="14"/>
      <c r="P38" s="14"/>
    </row>
    <row r="39" ht="22.5" customHeight="1">
      <c r="A39" s="10">
        <v>46181.71486795139</v>
      </c>
      <c r="B39" s="11" t="s">
        <v>15</v>
      </c>
      <c r="C39" s="12">
        <v>46178.0</v>
      </c>
      <c r="D39" s="13"/>
      <c r="E39" s="11" t="s">
        <v>55</v>
      </c>
      <c r="F39" s="11" t="s">
        <v>17</v>
      </c>
      <c r="G39" s="11" t="s">
        <v>34</v>
      </c>
      <c r="H39" s="11" t="s">
        <v>35</v>
      </c>
      <c r="I39" s="13"/>
      <c r="J39" s="13"/>
      <c r="K39" s="14"/>
      <c r="L39" s="14"/>
      <c r="M39" s="14"/>
      <c r="N39" s="14"/>
      <c r="O39" s="14"/>
      <c r="P39" s="14"/>
    </row>
    <row r="40" ht="22.5" customHeight="1">
      <c r="A40" s="10">
        <v>46181.715371388884</v>
      </c>
      <c r="B40" s="11" t="s">
        <v>21</v>
      </c>
      <c r="C40" s="12">
        <v>46178.0</v>
      </c>
      <c r="D40" s="13"/>
      <c r="E40" s="11">
        <v>2.0</v>
      </c>
      <c r="F40" s="11" t="s">
        <v>17</v>
      </c>
      <c r="G40" s="11" t="s">
        <v>34</v>
      </c>
      <c r="H40" s="11" t="s">
        <v>56</v>
      </c>
      <c r="I40" s="13"/>
      <c r="J40" s="13"/>
      <c r="K40" s="14"/>
      <c r="L40" s="14"/>
      <c r="M40" s="14"/>
      <c r="N40" s="14"/>
      <c r="O40" s="14"/>
      <c r="P40" s="14"/>
    </row>
    <row r="41" ht="22.5" customHeight="1">
      <c r="A41" s="10">
        <v>46181.71580908565</v>
      </c>
      <c r="B41" s="11" t="s">
        <v>23</v>
      </c>
      <c r="C41" s="12">
        <v>46178.0</v>
      </c>
      <c r="D41" s="13"/>
      <c r="E41" s="11">
        <v>2.0</v>
      </c>
      <c r="F41" s="11" t="s">
        <v>17</v>
      </c>
      <c r="G41" s="11" t="s">
        <v>34</v>
      </c>
      <c r="H41" s="11" t="s">
        <v>56</v>
      </c>
      <c r="I41" s="13"/>
      <c r="J41" s="13"/>
      <c r="K41" s="14"/>
      <c r="L41" s="14"/>
      <c r="M41" s="14"/>
      <c r="N41" s="14"/>
      <c r="O41" s="14"/>
      <c r="P41" s="14"/>
    </row>
    <row r="42" ht="22.5" customHeight="1">
      <c r="A42" s="10">
        <v>46181.71631091435</v>
      </c>
      <c r="B42" s="11" t="s">
        <v>57</v>
      </c>
      <c r="C42" s="12">
        <v>46178.0</v>
      </c>
      <c r="D42" s="13"/>
      <c r="E42" s="11" t="s">
        <v>25</v>
      </c>
      <c r="F42" s="11" t="s">
        <v>17</v>
      </c>
      <c r="G42" s="11" t="s">
        <v>34</v>
      </c>
      <c r="H42" s="11" t="s">
        <v>58</v>
      </c>
      <c r="I42" s="13"/>
      <c r="J42" s="13"/>
      <c r="K42" s="14"/>
      <c r="L42" s="14"/>
      <c r="M42" s="14"/>
      <c r="N42" s="14"/>
      <c r="O42" s="14"/>
      <c r="P42" s="14"/>
    </row>
    <row r="43" ht="22.5" customHeight="1">
      <c r="A43" s="10">
        <v>46181.718723125</v>
      </c>
      <c r="B43" s="11" t="s">
        <v>28</v>
      </c>
      <c r="C43" s="12">
        <v>46181.0</v>
      </c>
      <c r="D43" s="13"/>
      <c r="E43" s="11" t="s">
        <v>59</v>
      </c>
      <c r="F43" s="11" t="s">
        <v>17</v>
      </c>
      <c r="G43" s="11" t="s">
        <v>34</v>
      </c>
      <c r="H43" s="11" t="s">
        <v>35</v>
      </c>
      <c r="I43" s="13"/>
      <c r="J43" s="13"/>
      <c r="K43" s="14"/>
      <c r="L43" s="14"/>
      <c r="M43" s="14"/>
      <c r="N43" s="14"/>
      <c r="O43" s="14"/>
      <c r="P43" s="14"/>
    </row>
    <row r="44" ht="22.5" customHeight="1">
      <c r="A44" s="10">
        <v>46181.71904469907</v>
      </c>
      <c r="B44" s="11" t="s">
        <v>28</v>
      </c>
      <c r="C44" s="12">
        <v>46181.0</v>
      </c>
      <c r="D44" s="13"/>
      <c r="E44" s="11" t="s">
        <v>36</v>
      </c>
      <c r="F44" s="11" t="s">
        <v>17</v>
      </c>
      <c r="G44" s="11" t="s">
        <v>34</v>
      </c>
      <c r="H44" s="11" t="s">
        <v>60</v>
      </c>
      <c r="I44" s="13"/>
      <c r="J44" s="13"/>
      <c r="K44" s="14"/>
      <c r="L44" s="14"/>
      <c r="M44" s="14"/>
      <c r="N44" s="14"/>
      <c r="O44" s="14"/>
      <c r="P44" s="14"/>
    </row>
    <row r="45" ht="22.5" customHeight="1">
      <c r="A45" s="10">
        <v>46181.71960185185</v>
      </c>
      <c r="B45" s="11" t="s">
        <v>10</v>
      </c>
      <c r="C45" s="12">
        <v>46181.0</v>
      </c>
      <c r="D45" s="13"/>
      <c r="E45" s="11" t="s">
        <v>44</v>
      </c>
      <c r="F45" s="11" t="s">
        <v>17</v>
      </c>
      <c r="G45" s="11" t="s">
        <v>34</v>
      </c>
      <c r="H45" s="11" t="s">
        <v>35</v>
      </c>
      <c r="I45" s="13"/>
      <c r="J45" s="13"/>
      <c r="K45" s="14"/>
      <c r="L45" s="14"/>
      <c r="M45" s="14"/>
      <c r="N45" s="14"/>
      <c r="O45" s="14"/>
      <c r="P45" s="14"/>
    </row>
    <row r="46" ht="22.5" customHeight="1">
      <c r="A46" s="10">
        <v>46181.72004177084</v>
      </c>
      <c r="B46" s="11" t="s">
        <v>61</v>
      </c>
      <c r="C46" s="12">
        <v>46181.0</v>
      </c>
      <c r="D46" s="13"/>
      <c r="E46" s="11">
        <v>30.0</v>
      </c>
      <c r="F46" s="11" t="s">
        <v>17</v>
      </c>
      <c r="G46" s="11" t="s">
        <v>34</v>
      </c>
      <c r="H46" s="11" t="s">
        <v>35</v>
      </c>
      <c r="I46" s="13"/>
      <c r="J46" s="13"/>
      <c r="K46" s="14"/>
      <c r="L46" s="14"/>
      <c r="M46" s="14"/>
      <c r="N46" s="14"/>
      <c r="O46" s="14"/>
      <c r="P46" s="14"/>
    </row>
    <row r="47" ht="22.5" customHeight="1">
      <c r="A47" s="10">
        <v>46181.72051209491</v>
      </c>
      <c r="B47" s="11" t="s">
        <v>23</v>
      </c>
      <c r="C47" s="12">
        <v>46181.0</v>
      </c>
      <c r="D47" s="13"/>
      <c r="E47" s="11">
        <v>2.0</v>
      </c>
      <c r="F47" s="11" t="s">
        <v>17</v>
      </c>
      <c r="G47" s="11" t="s">
        <v>34</v>
      </c>
      <c r="H47" s="11" t="s">
        <v>43</v>
      </c>
      <c r="I47" s="13"/>
      <c r="J47" s="13"/>
      <c r="K47" s="14"/>
      <c r="L47" s="14"/>
      <c r="M47" s="14"/>
      <c r="N47" s="14"/>
      <c r="O47" s="14"/>
      <c r="P47" s="14"/>
    </row>
    <row r="48" ht="22.5" customHeight="1">
      <c r="A48" s="10">
        <v>46181.720952986114</v>
      </c>
      <c r="B48" s="11" t="s">
        <v>53</v>
      </c>
      <c r="C48" s="12">
        <v>46181.0</v>
      </c>
      <c r="D48" s="13"/>
      <c r="E48" s="11">
        <v>1.0</v>
      </c>
      <c r="F48" s="11" t="s">
        <v>17</v>
      </c>
      <c r="G48" s="11" t="s">
        <v>34</v>
      </c>
      <c r="H48" s="11" t="s">
        <v>35</v>
      </c>
      <c r="I48" s="13"/>
      <c r="J48" s="13"/>
      <c r="K48" s="14"/>
      <c r="L48" s="14"/>
      <c r="M48" s="14"/>
      <c r="N48" s="14"/>
      <c r="O48" s="14"/>
      <c r="P48" s="14"/>
    </row>
    <row r="49" ht="22.5" customHeight="1">
      <c r="A49" s="10">
        <v>46181.75900420139</v>
      </c>
      <c r="B49" s="11" t="s">
        <v>40</v>
      </c>
      <c r="C49" s="12">
        <v>46181.0</v>
      </c>
      <c r="D49" s="13"/>
      <c r="E49" s="11" t="s">
        <v>25</v>
      </c>
      <c r="F49" s="11" t="s">
        <v>17</v>
      </c>
      <c r="G49" s="11" t="s">
        <v>13</v>
      </c>
      <c r="H49" s="11" t="s">
        <v>58</v>
      </c>
      <c r="I49" s="13"/>
      <c r="J49" s="13"/>
      <c r="K49" s="14"/>
      <c r="L49" s="14"/>
      <c r="M49" s="14"/>
      <c r="N49" s="14"/>
      <c r="O49" s="14"/>
      <c r="P49" s="14"/>
    </row>
    <row r="50" ht="22.5" customHeight="1">
      <c r="A50" s="10">
        <v>46182.71240399306</v>
      </c>
      <c r="B50" s="11" t="s">
        <v>37</v>
      </c>
      <c r="C50" s="12">
        <v>46182.0</v>
      </c>
      <c r="D50" s="13"/>
      <c r="E50" s="11" t="s">
        <v>62</v>
      </c>
      <c r="F50" s="11" t="s">
        <v>17</v>
      </c>
      <c r="G50" s="11" t="s">
        <v>13</v>
      </c>
      <c r="H50" s="11" t="s">
        <v>14</v>
      </c>
      <c r="I50" s="13"/>
      <c r="J50" s="13"/>
      <c r="K50" s="14"/>
      <c r="L50" s="14"/>
      <c r="M50" s="14"/>
      <c r="N50" s="14"/>
      <c r="O50" s="14"/>
      <c r="P50" s="14"/>
    </row>
    <row r="51" ht="22.5" customHeight="1">
      <c r="A51" s="10">
        <v>46182.71284451389</v>
      </c>
      <c r="B51" s="11" t="s">
        <v>10</v>
      </c>
      <c r="C51" s="12">
        <v>46182.0</v>
      </c>
      <c r="D51" s="13"/>
      <c r="E51" s="11" t="s">
        <v>63</v>
      </c>
      <c r="F51" s="11" t="s">
        <v>17</v>
      </c>
      <c r="G51" s="11" t="s">
        <v>13</v>
      </c>
      <c r="H51" s="11" t="s">
        <v>14</v>
      </c>
      <c r="I51" s="13"/>
      <c r="J51" s="13"/>
      <c r="K51" s="14"/>
      <c r="L51" s="14"/>
      <c r="M51" s="14"/>
      <c r="N51" s="14"/>
      <c r="O51" s="14"/>
      <c r="P51" s="14"/>
    </row>
    <row r="52" ht="22.5" customHeight="1">
      <c r="A52" s="10">
        <v>46182.71333434028</v>
      </c>
      <c r="B52" s="11" t="s">
        <v>28</v>
      </c>
      <c r="C52" s="12">
        <v>46182.0</v>
      </c>
      <c r="D52" s="13"/>
      <c r="E52" s="11" t="s">
        <v>64</v>
      </c>
      <c r="F52" s="11" t="s">
        <v>17</v>
      </c>
      <c r="G52" s="11" t="s">
        <v>13</v>
      </c>
      <c r="H52" s="11" t="s">
        <v>14</v>
      </c>
      <c r="I52" s="13"/>
      <c r="J52" s="13"/>
      <c r="K52" s="14"/>
      <c r="L52" s="14"/>
      <c r="M52" s="14"/>
      <c r="N52" s="14"/>
      <c r="O52" s="14"/>
      <c r="P52" s="14"/>
    </row>
    <row r="53" ht="22.5" customHeight="1">
      <c r="A53" s="10">
        <v>46182.71382483796</v>
      </c>
      <c r="B53" s="11" t="s">
        <v>15</v>
      </c>
      <c r="C53" s="12">
        <v>46182.0</v>
      </c>
      <c r="D53" s="13"/>
      <c r="E53" s="11" t="s">
        <v>11</v>
      </c>
      <c r="F53" s="11" t="s">
        <v>17</v>
      </c>
      <c r="G53" s="11" t="s">
        <v>13</v>
      </c>
      <c r="H53" s="11" t="s">
        <v>14</v>
      </c>
      <c r="I53" s="13"/>
      <c r="J53" s="13"/>
      <c r="K53" s="14"/>
      <c r="L53" s="14"/>
      <c r="M53" s="14"/>
      <c r="N53" s="14"/>
      <c r="O53" s="14"/>
      <c r="P53" s="14"/>
    </row>
    <row r="54" ht="22.5" customHeight="1">
      <c r="A54" s="10">
        <v>46182.714176203706</v>
      </c>
      <c r="B54" s="11" t="s">
        <v>31</v>
      </c>
      <c r="C54" s="12">
        <v>46182.0</v>
      </c>
      <c r="D54" s="13"/>
      <c r="E54" s="11" t="s">
        <v>65</v>
      </c>
      <c r="F54" s="11" t="s">
        <v>17</v>
      </c>
      <c r="G54" s="11" t="s">
        <v>13</v>
      </c>
      <c r="H54" s="11" t="s">
        <v>14</v>
      </c>
      <c r="I54" s="13"/>
      <c r="J54" s="13"/>
      <c r="K54" s="14"/>
      <c r="L54" s="14"/>
      <c r="M54" s="14"/>
      <c r="N54" s="14"/>
      <c r="O54" s="14"/>
      <c r="P54" s="14"/>
    </row>
    <row r="55" ht="22.5" customHeight="1">
      <c r="A55" s="10">
        <v>46182.71464628472</v>
      </c>
      <c r="B55" s="11" t="s">
        <v>32</v>
      </c>
      <c r="C55" s="12">
        <v>46182.0</v>
      </c>
      <c r="D55" s="13"/>
      <c r="E55" s="11" t="s">
        <v>66</v>
      </c>
      <c r="F55" s="11" t="s">
        <v>17</v>
      </c>
      <c r="G55" s="11" t="s">
        <v>13</v>
      </c>
      <c r="H55" s="11" t="s">
        <v>14</v>
      </c>
      <c r="I55" s="13"/>
      <c r="J55" s="13"/>
      <c r="K55" s="14"/>
      <c r="L55" s="14"/>
      <c r="M55" s="14"/>
      <c r="N55" s="14"/>
      <c r="O55" s="14"/>
      <c r="P55" s="14"/>
    </row>
    <row r="56" ht="22.5" customHeight="1">
      <c r="A56" s="10">
        <v>46182.71740366898</v>
      </c>
      <c r="B56" s="11" t="s">
        <v>15</v>
      </c>
      <c r="C56" s="12">
        <v>46182.0</v>
      </c>
      <c r="D56" s="13"/>
      <c r="E56" s="11" t="s">
        <v>67</v>
      </c>
      <c r="F56" s="11" t="s">
        <v>17</v>
      </c>
      <c r="G56" s="11" t="s">
        <v>34</v>
      </c>
      <c r="H56" s="11" t="s">
        <v>35</v>
      </c>
      <c r="I56" s="13"/>
      <c r="J56" s="13"/>
      <c r="K56" s="14"/>
      <c r="L56" s="14"/>
      <c r="M56" s="14"/>
      <c r="N56" s="14"/>
      <c r="O56" s="14"/>
      <c r="P56" s="14"/>
    </row>
    <row r="57" ht="22.5" customHeight="1">
      <c r="A57" s="10">
        <v>46182.717825625004</v>
      </c>
      <c r="B57" s="11" t="s">
        <v>18</v>
      </c>
      <c r="C57" s="12">
        <v>46182.0</v>
      </c>
      <c r="D57" s="13"/>
      <c r="E57" s="11" t="s">
        <v>25</v>
      </c>
      <c r="F57" s="11" t="s">
        <v>17</v>
      </c>
      <c r="G57" s="11" t="s">
        <v>34</v>
      </c>
      <c r="H57" s="11" t="s">
        <v>35</v>
      </c>
      <c r="I57" s="13"/>
      <c r="J57" s="13"/>
      <c r="K57" s="14"/>
      <c r="L57" s="14"/>
      <c r="M57" s="14"/>
      <c r="N57" s="14"/>
      <c r="O57" s="14"/>
      <c r="P57" s="14"/>
    </row>
    <row r="58" ht="22.5" customHeight="1">
      <c r="A58" s="10">
        <v>46182.71853453704</v>
      </c>
      <c r="B58" s="11" t="s">
        <v>68</v>
      </c>
      <c r="C58" s="12">
        <v>46182.0</v>
      </c>
      <c r="D58" s="13"/>
      <c r="E58" s="11">
        <v>1.0</v>
      </c>
      <c r="F58" s="11" t="s">
        <v>17</v>
      </c>
      <c r="G58" s="11" t="s">
        <v>34</v>
      </c>
      <c r="H58" s="11" t="s">
        <v>35</v>
      </c>
      <c r="I58" s="13"/>
      <c r="J58" s="13"/>
      <c r="K58" s="14"/>
      <c r="L58" s="14"/>
      <c r="M58" s="14"/>
      <c r="N58" s="14"/>
      <c r="O58" s="14"/>
      <c r="P58" s="14"/>
    </row>
    <row r="59" ht="22.5" customHeight="1">
      <c r="A59" s="10">
        <v>46182.71889550926</v>
      </c>
      <c r="B59" s="11" t="s">
        <v>28</v>
      </c>
      <c r="C59" s="12">
        <v>46182.0</v>
      </c>
      <c r="D59" s="13"/>
      <c r="E59" s="11" t="s">
        <v>64</v>
      </c>
      <c r="F59" s="11" t="s">
        <v>17</v>
      </c>
      <c r="G59" s="11" t="s">
        <v>34</v>
      </c>
      <c r="H59" s="11" t="s">
        <v>35</v>
      </c>
      <c r="I59" s="13"/>
      <c r="J59" s="13"/>
      <c r="K59" s="14"/>
      <c r="L59" s="14"/>
      <c r="M59" s="14"/>
      <c r="N59" s="14"/>
      <c r="O59" s="14"/>
      <c r="P59" s="14"/>
    </row>
    <row r="60" ht="22.5" customHeight="1">
      <c r="A60" s="10">
        <v>46182.719315821756</v>
      </c>
      <c r="B60" s="11" t="s">
        <v>23</v>
      </c>
      <c r="C60" s="12">
        <v>46182.0</v>
      </c>
      <c r="D60" s="13"/>
      <c r="E60" s="11">
        <v>1.0</v>
      </c>
      <c r="F60" s="11" t="s">
        <v>17</v>
      </c>
      <c r="G60" s="11" t="s">
        <v>34</v>
      </c>
      <c r="H60" s="11" t="s">
        <v>56</v>
      </c>
      <c r="I60" s="13"/>
      <c r="J60" s="13"/>
      <c r="K60" s="14"/>
      <c r="L60" s="14"/>
      <c r="M60" s="14"/>
      <c r="N60" s="14"/>
      <c r="O60" s="14"/>
      <c r="P60" s="14"/>
    </row>
    <row r="61" ht="22.5" customHeight="1">
      <c r="A61" s="10">
        <v>46182.719728738426</v>
      </c>
      <c r="B61" s="11" t="s">
        <v>10</v>
      </c>
      <c r="C61" s="12">
        <v>46182.0</v>
      </c>
      <c r="D61" s="13"/>
      <c r="E61" s="11" t="s">
        <v>26</v>
      </c>
      <c r="F61" s="11" t="s">
        <v>17</v>
      </c>
      <c r="G61" s="11" t="s">
        <v>34</v>
      </c>
      <c r="H61" s="11" t="s">
        <v>35</v>
      </c>
      <c r="I61" s="13"/>
      <c r="J61" s="13"/>
      <c r="K61" s="14"/>
      <c r="L61" s="14"/>
      <c r="M61" s="14"/>
      <c r="N61" s="14"/>
      <c r="O61" s="14"/>
      <c r="P61" s="14"/>
    </row>
    <row r="62" ht="22.5" customHeight="1">
      <c r="A62" s="10">
        <v>46184.32142795139</v>
      </c>
      <c r="B62" s="11" t="s">
        <v>10</v>
      </c>
      <c r="C62" s="12">
        <v>46183.0</v>
      </c>
      <c r="D62" s="13"/>
      <c r="E62" s="11" t="s">
        <v>19</v>
      </c>
      <c r="F62" s="11" t="s">
        <v>30</v>
      </c>
      <c r="G62" s="11" t="s">
        <v>13</v>
      </c>
      <c r="H62" s="11" t="s">
        <v>20</v>
      </c>
      <c r="I62" s="13"/>
      <c r="J62" s="13"/>
      <c r="K62" s="14"/>
      <c r="L62" s="14"/>
      <c r="M62" s="14"/>
      <c r="N62" s="14"/>
      <c r="O62" s="14"/>
      <c r="P62" s="14"/>
    </row>
    <row r="63" ht="22.5" customHeight="1">
      <c r="A63" s="10">
        <v>46184.321797337965</v>
      </c>
      <c r="B63" s="11" t="s">
        <v>18</v>
      </c>
      <c r="C63" s="12">
        <v>46183.0</v>
      </c>
      <c r="D63" s="13"/>
      <c r="E63" s="11" t="s">
        <v>29</v>
      </c>
      <c r="F63" s="11" t="s">
        <v>17</v>
      </c>
      <c r="G63" s="11" t="s">
        <v>13</v>
      </c>
      <c r="H63" s="11" t="s">
        <v>20</v>
      </c>
      <c r="I63" s="13"/>
      <c r="J63" s="13"/>
      <c r="K63" s="14"/>
      <c r="L63" s="14"/>
      <c r="M63" s="14"/>
      <c r="N63" s="14"/>
      <c r="O63" s="14"/>
      <c r="P63" s="14"/>
    </row>
    <row r="64" ht="22.5" customHeight="1">
      <c r="A64" s="10">
        <v>46184.32219607639</v>
      </c>
      <c r="B64" s="11" t="s">
        <v>28</v>
      </c>
      <c r="C64" s="12">
        <v>46183.0</v>
      </c>
      <c r="D64" s="13"/>
      <c r="E64" s="11" t="s">
        <v>29</v>
      </c>
      <c r="F64" s="11" t="s">
        <v>17</v>
      </c>
      <c r="G64" s="11" t="s">
        <v>13</v>
      </c>
      <c r="H64" s="11" t="s">
        <v>20</v>
      </c>
      <c r="I64" s="13"/>
      <c r="J64" s="13"/>
      <c r="K64" s="14"/>
      <c r="L64" s="14"/>
      <c r="M64" s="14"/>
      <c r="N64" s="14"/>
      <c r="O64" s="14"/>
      <c r="P64" s="14"/>
    </row>
    <row r="65" ht="22.5" customHeight="1">
      <c r="A65" s="10">
        <v>46184.32273422454</v>
      </c>
      <c r="B65" s="11" t="s">
        <v>15</v>
      </c>
      <c r="C65" s="12">
        <v>46183.0</v>
      </c>
      <c r="D65" s="13"/>
      <c r="E65" s="11" t="s">
        <v>33</v>
      </c>
      <c r="F65" s="11" t="s">
        <v>17</v>
      </c>
      <c r="G65" s="11" t="s">
        <v>13</v>
      </c>
      <c r="H65" s="11" t="s">
        <v>20</v>
      </c>
      <c r="I65" s="13"/>
      <c r="J65" s="13"/>
      <c r="K65" s="14"/>
      <c r="L65" s="14"/>
      <c r="M65" s="14"/>
      <c r="N65" s="14"/>
      <c r="O65" s="14"/>
      <c r="P65" s="14"/>
    </row>
    <row r="66" ht="22.5" customHeight="1">
      <c r="A66" s="10">
        <v>46184.323153958336</v>
      </c>
      <c r="B66" s="11" t="s">
        <v>23</v>
      </c>
      <c r="C66" s="12">
        <v>46183.0</v>
      </c>
      <c r="D66" s="13"/>
      <c r="E66" s="11">
        <v>1.0</v>
      </c>
      <c r="F66" s="11" t="s">
        <v>17</v>
      </c>
      <c r="G66" s="11" t="s">
        <v>13</v>
      </c>
      <c r="H66" s="11" t="s">
        <v>20</v>
      </c>
      <c r="I66" s="13"/>
      <c r="J66" s="13"/>
      <c r="K66" s="14"/>
      <c r="L66" s="14"/>
      <c r="M66" s="14"/>
      <c r="N66" s="14"/>
      <c r="O66" s="14"/>
      <c r="P66" s="14"/>
    </row>
    <row r="67" ht="22.5" customHeight="1">
      <c r="A67" s="10">
        <v>46184.32363300926</v>
      </c>
      <c r="B67" s="11" t="s">
        <v>24</v>
      </c>
      <c r="C67" s="12">
        <v>46183.0</v>
      </c>
      <c r="D67" s="13"/>
      <c r="E67" s="11" t="s">
        <v>63</v>
      </c>
      <c r="F67" s="11" t="s">
        <v>17</v>
      </c>
      <c r="G67" s="11" t="s">
        <v>13</v>
      </c>
      <c r="H67" s="11" t="s">
        <v>14</v>
      </c>
      <c r="I67" s="13"/>
      <c r="J67" s="13"/>
      <c r="K67" s="14"/>
      <c r="L67" s="14"/>
      <c r="M67" s="14"/>
      <c r="N67" s="14"/>
      <c r="O67" s="14"/>
      <c r="P67" s="14"/>
    </row>
    <row r="68" ht="22.5" customHeight="1">
      <c r="A68" s="10">
        <v>46184.32407775463</v>
      </c>
      <c r="B68" s="11" t="s">
        <v>28</v>
      </c>
      <c r="C68" s="12">
        <v>46183.0</v>
      </c>
      <c r="D68" s="13"/>
      <c r="E68" s="11" t="s">
        <v>36</v>
      </c>
      <c r="F68" s="11" t="s">
        <v>17</v>
      </c>
      <c r="G68" s="11" t="s">
        <v>13</v>
      </c>
      <c r="H68" s="11" t="s">
        <v>14</v>
      </c>
      <c r="I68" s="13"/>
      <c r="J68" s="13"/>
      <c r="K68" s="14"/>
      <c r="L68" s="14"/>
      <c r="M68" s="14"/>
      <c r="N68" s="14"/>
      <c r="O68" s="14"/>
      <c r="P68" s="14"/>
    </row>
    <row r="69" ht="22.5" customHeight="1">
      <c r="A69" s="10">
        <v>46184.324451990746</v>
      </c>
      <c r="B69" s="11" t="s">
        <v>15</v>
      </c>
      <c r="C69" s="12">
        <v>46183.0</v>
      </c>
      <c r="D69" s="13"/>
      <c r="E69" s="11" t="s">
        <v>11</v>
      </c>
      <c r="F69" s="11" t="s">
        <v>17</v>
      </c>
      <c r="G69" s="11" t="s">
        <v>13</v>
      </c>
      <c r="H69" s="11" t="s">
        <v>14</v>
      </c>
      <c r="I69" s="13"/>
      <c r="J69" s="13"/>
      <c r="K69" s="14"/>
      <c r="L69" s="14"/>
      <c r="M69" s="14"/>
      <c r="N69" s="14"/>
      <c r="O69" s="14"/>
      <c r="P69" s="14"/>
    </row>
    <row r="70" ht="22.5" customHeight="1">
      <c r="A70" s="10">
        <v>46184.32491486111</v>
      </c>
      <c r="B70" s="11" t="s">
        <v>23</v>
      </c>
      <c r="C70" s="12">
        <v>46183.0</v>
      </c>
      <c r="D70" s="13"/>
      <c r="E70" s="11">
        <v>1.0</v>
      </c>
      <c r="F70" s="11" t="s">
        <v>17</v>
      </c>
      <c r="G70" s="11" t="s">
        <v>13</v>
      </c>
      <c r="H70" s="11" t="s">
        <v>14</v>
      </c>
      <c r="I70" s="13"/>
      <c r="J70" s="13"/>
      <c r="K70" s="14"/>
      <c r="L70" s="14"/>
      <c r="M70" s="14"/>
      <c r="N70" s="14"/>
      <c r="O70" s="14"/>
      <c r="P70" s="14"/>
    </row>
    <row r="71" ht="22.5" customHeight="1">
      <c r="A71" s="10">
        <v>46184.32669486111</v>
      </c>
      <c r="B71" s="11" t="s">
        <v>69</v>
      </c>
      <c r="C71" s="12">
        <v>46183.0</v>
      </c>
      <c r="D71" s="13"/>
      <c r="E71" s="11" t="s">
        <v>11</v>
      </c>
      <c r="F71" s="11" t="s">
        <v>17</v>
      </c>
      <c r="G71" s="11" t="s">
        <v>34</v>
      </c>
      <c r="H71" s="11" t="s">
        <v>35</v>
      </c>
      <c r="I71" s="13"/>
      <c r="J71" s="13"/>
      <c r="K71" s="14"/>
      <c r="L71" s="14"/>
      <c r="M71" s="14"/>
      <c r="N71" s="14"/>
      <c r="O71" s="14"/>
      <c r="P71" s="14"/>
    </row>
    <row r="72" ht="22.5" customHeight="1">
      <c r="A72" s="10">
        <v>46184.50197341436</v>
      </c>
      <c r="B72" s="11" t="s">
        <v>53</v>
      </c>
      <c r="C72" s="12">
        <v>46184.0</v>
      </c>
      <c r="D72" s="11" t="s">
        <v>70</v>
      </c>
      <c r="E72" s="11" t="s">
        <v>44</v>
      </c>
      <c r="F72" s="11" t="s">
        <v>30</v>
      </c>
      <c r="G72" s="11" t="s">
        <v>34</v>
      </c>
      <c r="H72" s="11" t="s">
        <v>35</v>
      </c>
      <c r="I72" s="13"/>
      <c r="J72" s="13"/>
      <c r="K72" s="14"/>
      <c r="L72" s="14"/>
      <c r="M72" s="14"/>
      <c r="N72" s="14"/>
      <c r="O72" s="14"/>
      <c r="P72" s="14"/>
    </row>
    <row r="73" ht="22.5" customHeight="1">
      <c r="A73" s="10">
        <v>46184.50698533565</v>
      </c>
      <c r="B73" s="11" t="s">
        <v>10</v>
      </c>
      <c r="C73" s="12">
        <v>46184.0</v>
      </c>
      <c r="D73" s="11" t="s">
        <v>70</v>
      </c>
      <c r="E73" s="11" t="s">
        <v>26</v>
      </c>
      <c r="F73" s="11" t="s">
        <v>17</v>
      </c>
      <c r="G73" s="11" t="s">
        <v>34</v>
      </c>
      <c r="H73" s="11" t="s">
        <v>35</v>
      </c>
      <c r="I73" s="13"/>
      <c r="J73" s="13"/>
      <c r="K73" s="14"/>
      <c r="L73" s="14"/>
      <c r="M73" s="14"/>
      <c r="N73" s="14"/>
      <c r="O73" s="14"/>
      <c r="P73" s="14"/>
    </row>
    <row r="74" ht="22.5" customHeight="1">
      <c r="A74" s="10">
        <v>46184.50748480324</v>
      </c>
      <c r="B74" s="11" t="s">
        <v>28</v>
      </c>
      <c r="C74" s="12">
        <v>46184.0</v>
      </c>
      <c r="D74" s="11" t="s">
        <v>70</v>
      </c>
      <c r="E74" s="11" t="s">
        <v>26</v>
      </c>
      <c r="F74" s="11" t="s">
        <v>17</v>
      </c>
      <c r="G74" s="11" t="s">
        <v>34</v>
      </c>
      <c r="H74" s="11" t="s">
        <v>35</v>
      </c>
      <c r="I74" s="13"/>
      <c r="J74" s="13"/>
      <c r="K74" s="14"/>
      <c r="L74" s="14"/>
      <c r="M74" s="14"/>
      <c r="N74" s="14"/>
      <c r="O74" s="14"/>
      <c r="P74" s="14"/>
    </row>
    <row r="75" ht="22.5" customHeight="1">
      <c r="A75" s="10">
        <v>46184.508096192134</v>
      </c>
      <c r="B75" s="11" t="s">
        <v>15</v>
      </c>
      <c r="C75" s="12">
        <v>46184.0</v>
      </c>
      <c r="D75" s="11" t="s">
        <v>70</v>
      </c>
      <c r="E75" s="11" t="s">
        <v>71</v>
      </c>
      <c r="F75" s="11" t="s">
        <v>17</v>
      </c>
      <c r="G75" s="11" t="s">
        <v>13</v>
      </c>
      <c r="H75" s="11" t="s">
        <v>35</v>
      </c>
      <c r="I75" s="13"/>
      <c r="J75" s="13"/>
      <c r="K75" s="14"/>
      <c r="L75" s="14"/>
      <c r="M75" s="14"/>
      <c r="N75" s="14"/>
      <c r="O75" s="14"/>
      <c r="P75" s="14"/>
    </row>
    <row r="76" ht="22.5" customHeight="1">
      <c r="A76" s="10">
        <v>46184.50859672454</v>
      </c>
      <c r="B76" s="11" t="s">
        <v>28</v>
      </c>
      <c r="C76" s="12">
        <v>46184.0</v>
      </c>
      <c r="D76" s="11" t="s">
        <v>70</v>
      </c>
      <c r="E76" s="11" t="s">
        <v>72</v>
      </c>
      <c r="F76" s="11" t="s">
        <v>17</v>
      </c>
      <c r="G76" s="11" t="s">
        <v>13</v>
      </c>
      <c r="H76" s="11" t="s">
        <v>35</v>
      </c>
      <c r="I76" s="13"/>
      <c r="J76" s="13"/>
      <c r="K76" s="14"/>
      <c r="L76" s="14"/>
      <c r="M76" s="14"/>
      <c r="N76" s="14"/>
      <c r="O76" s="14"/>
      <c r="P76" s="14"/>
    </row>
    <row r="77" ht="22.5" customHeight="1">
      <c r="A77" s="10">
        <v>46184.50909028936</v>
      </c>
      <c r="B77" s="11" t="s">
        <v>32</v>
      </c>
      <c r="C77" s="12">
        <v>46184.0</v>
      </c>
      <c r="D77" s="11" t="s">
        <v>73</v>
      </c>
      <c r="E77" s="11">
        <v>100.0</v>
      </c>
      <c r="F77" s="11" t="s">
        <v>17</v>
      </c>
      <c r="G77" s="11" t="s">
        <v>13</v>
      </c>
      <c r="H77" s="11" t="s">
        <v>35</v>
      </c>
      <c r="I77" s="13"/>
      <c r="J77" s="13"/>
      <c r="K77" s="14"/>
      <c r="L77" s="14"/>
      <c r="M77" s="14"/>
      <c r="N77" s="14"/>
      <c r="O77" s="14"/>
      <c r="P77" s="14"/>
    </row>
    <row r="78" ht="22.5" customHeight="1">
      <c r="A78" s="10">
        <v>46185.511209432865</v>
      </c>
      <c r="B78" s="11" t="s">
        <v>28</v>
      </c>
      <c r="C78" s="12">
        <v>46185.0</v>
      </c>
      <c r="D78" s="11" t="s">
        <v>70</v>
      </c>
      <c r="E78" s="11" t="s">
        <v>74</v>
      </c>
      <c r="F78" s="11" t="s">
        <v>17</v>
      </c>
      <c r="G78" s="11" t="s">
        <v>34</v>
      </c>
      <c r="H78" s="11" t="s">
        <v>60</v>
      </c>
      <c r="I78" s="13"/>
      <c r="J78" s="13"/>
      <c r="K78" s="14"/>
      <c r="L78" s="14"/>
      <c r="M78" s="14"/>
      <c r="N78" s="14"/>
      <c r="O78" s="14"/>
      <c r="P78" s="14"/>
    </row>
    <row r="79" ht="22.5" customHeight="1">
      <c r="A79" s="10">
        <v>46185.511676678245</v>
      </c>
      <c r="B79" s="11" t="s">
        <v>10</v>
      </c>
      <c r="C79" s="12">
        <v>46185.0</v>
      </c>
      <c r="D79" s="11" t="s">
        <v>70</v>
      </c>
      <c r="E79" s="11" t="s">
        <v>29</v>
      </c>
      <c r="F79" s="11" t="s">
        <v>17</v>
      </c>
      <c r="G79" s="11" t="s">
        <v>34</v>
      </c>
      <c r="H79" s="11" t="s">
        <v>60</v>
      </c>
      <c r="I79" s="13"/>
      <c r="J79" s="13"/>
      <c r="K79" s="14"/>
      <c r="L79" s="14"/>
      <c r="M79" s="14"/>
      <c r="N79" s="14"/>
      <c r="O79" s="14"/>
      <c r="P79" s="14"/>
    </row>
    <row r="80" ht="22.5" customHeight="1">
      <c r="A80" s="10">
        <v>46185.512447002315</v>
      </c>
      <c r="B80" s="11" t="s">
        <v>23</v>
      </c>
      <c r="C80" s="12">
        <v>46185.0</v>
      </c>
      <c r="D80" s="11" t="s">
        <v>70</v>
      </c>
      <c r="E80" s="11">
        <v>1.0</v>
      </c>
      <c r="F80" s="11" t="s">
        <v>17</v>
      </c>
      <c r="G80" s="11" t="s">
        <v>13</v>
      </c>
      <c r="H80" s="11" t="s">
        <v>35</v>
      </c>
      <c r="I80" s="13"/>
      <c r="J80" s="13"/>
      <c r="K80" s="14"/>
      <c r="L80" s="14"/>
      <c r="M80" s="14"/>
      <c r="N80" s="14"/>
      <c r="O80" s="14"/>
      <c r="P80" s="14"/>
    </row>
    <row r="81" ht="22.5" customHeight="1">
      <c r="A81" s="10">
        <v>46185.51321899306</v>
      </c>
      <c r="B81" s="11" t="s">
        <v>10</v>
      </c>
      <c r="C81" s="12">
        <v>46185.0</v>
      </c>
      <c r="D81" s="11" t="s">
        <v>70</v>
      </c>
      <c r="E81" s="11" t="s">
        <v>36</v>
      </c>
      <c r="F81" s="11" t="s">
        <v>17</v>
      </c>
      <c r="G81" s="11" t="s">
        <v>13</v>
      </c>
      <c r="H81" s="11" t="s">
        <v>35</v>
      </c>
      <c r="I81" s="13"/>
      <c r="J81" s="13"/>
      <c r="K81" s="14"/>
      <c r="L81" s="14"/>
      <c r="M81" s="14"/>
      <c r="N81" s="14"/>
      <c r="O81" s="14"/>
      <c r="P81" s="14"/>
    </row>
    <row r="82" ht="22.5" customHeight="1">
      <c r="A82" s="10">
        <v>46185.51406828704</v>
      </c>
      <c r="B82" s="11" t="s">
        <v>15</v>
      </c>
      <c r="C82" s="12">
        <v>46185.0</v>
      </c>
      <c r="D82" s="11" t="s">
        <v>70</v>
      </c>
      <c r="E82" s="11" t="s">
        <v>75</v>
      </c>
      <c r="F82" s="11" t="s">
        <v>17</v>
      </c>
      <c r="G82" s="11" t="s">
        <v>13</v>
      </c>
      <c r="H82" s="11" t="s">
        <v>35</v>
      </c>
      <c r="I82" s="13"/>
      <c r="J82" s="13"/>
      <c r="K82" s="14"/>
      <c r="L82" s="14"/>
      <c r="M82" s="14"/>
      <c r="N82" s="14"/>
      <c r="O82" s="14"/>
      <c r="P82" s="14"/>
    </row>
    <row r="83" ht="22.5" customHeight="1">
      <c r="A83" s="10">
        <v>46185.514634861116</v>
      </c>
      <c r="B83" s="11" t="s">
        <v>28</v>
      </c>
      <c r="C83" s="12">
        <v>46185.0</v>
      </c>
      <c r="D83" s="11" t="s">
        <v>70</v>
      </c>
      <c r="E83" s="11" t="s">
        <v>36</v>
      </c>
      <c r="F83" s="11" t="s">
        <v>17</v>
      </c>
      <c r="G83" s="11" t="s">
        <v>13</v>
      </c>
      <c r="H83" s="11" t="s">
        <v>35</v>
      </c>
      <c r="I83" s="13"/>
      <c r="J83" s="13"/>
      <c r="K83" s="14"/>
      <c r="L83" s="14"/>
      <c r="M83" s="14"/>
      <c r="N83" s="14"/>
      <c r="O83" s="14"/>
      <c r="P83" s="14"/>
    </row>
    <row r="84" ht="22.5" customHeight="1">
      <c r="A84" s="10">
        <v>46185.516398252315</v>
      </c>
      <c r="B84" s="11" t="s">
        <v>76</v>
      </c>
      <c r="C84" s="12">
        <v>46185.0</v>
      </c>
      <c r="D84" s="11" t="s">
        <v>77</v>
      </c>
      <c r="E84" s="11" t="s">
        <v>78</v>
      </c>
      <c r="F84" s="11" t="s">
        <v>17</v>
      </c>
      <c r="G84" s="11" t="s">
        <v>13</v>
      </c>
      <c r="H84" s="11" t="s">
        <v>35</v>
      </c>
      <c r="I84" s="13"/>
      <c r="J84" s="13"/>
      <c r="K84" s="14"/>
      <c r="L84" s="14"/>
      <c r="M84" s="14"/>
      <c r="N84" s="14"/>
      <c r="O84" s="14"/>
      <c r="P84" s="14"/>
    </row>
    <row r="85" ht="22.5" customHeight="1">
      <c r="A85" s="10">
        <v>46185.74658471065</v>
      </c>
      <c r="B85" s="15" t="s">
        <v>37</v>
      </c>
      <c r="C85" s="16">
        <v>46185.0</v>
      </c>
      <c r="D85" s="15" t="s">
        <v>79</v>
      </c>
      <c r="E85" s="15" t="s">
        <v>80</v>
      </c>
      <c r="F85" s="15" t="s">
        <v>17</v>
      </c>
      <c r="G85" s="15" t="s">
        <v>34</v>
      </c>
      <c r="H85" s="15" t="s">
        <v>39</v>
      </c>
      <c r="I85" s="17"/>
      <c r="J85" s="17"/>
    </row>
    <row r="86" ht="22.5" customHeight="1">
      <c r="A86" s="10">
        <v>46185.74706101852</v>
      </c>
      <c r="B86" s="15" t="s">
        <v>40</v>
      </c>
      <c r="C86" s="16">
        <v>46185.0</v>
      </c>
      <c r="D86" s="15" t="s">
        <v>70</v>
      </c>
      <c r="E86" s="15" t="s">
        <v>36</v>
      </c>
      <c r="F86" s="15" t="s">
        <v>17</v>
      </c>
      <c r="G86" s="15" t="s">
        <v>34</v>
      </c>
      <c r="H86" s="15" t="s">
        <v>39</v>
      </c>
      <c r="I86" s="17"/>
      <c r="J86" s="17"/>
    </row>
    <row r="87" ht="22.5" customHeight="1">
      <c r="A87" s="10">
        <v>46185.74746269676</v>
      </c>
      <c r="B87" s="15" t="s">
        <v>22</v>
      </c>
      <c r="C87" s="16">
        <v>46185.0</v>
      </c>
      <c r="D87" s="15" t="s">
        <v>70</v>
      </c>
      <c r="E87" s="15" t="s">
        <v>36</v>
      </c>
      <c r="F87" s="15" t="s">
        <v>17</v>
      </c>
      <c r="G87" s="15" t="s">
        <v>34</v>
      </c>
      <c r="H87" s="15" t="s">
        <v>39</v>
      </c>
      <c r="I87" s="17"/>
      <c r="J87" s="17"/>
    </row>
    <row r="88" ht="22.5" customHeight="1">
      <c r="A88" s="10">
        <v>46185.747931273145</v>
      </c>
      <c r="B88" s="15" t="s">
        <v>15</v>
      </c>
      <c r="C88" s="16">
        <v>46185.0</v>
      </c>
      <c r="D88" s="15" t="s">
        <v>70</v>
      </c>
      <c r="E88" s="15" t="s">
        <v>33</v>
      </c>
      <c r="F88" s="15" t="s">
        <v>17</v>
      </c>
      <c r="G88" s="15" t="s">
        <v>34</v>
      </c>
      <c r="H88" s="15" t="s">
        <v>39</v>
      </c>
      <c r="I88" s="17"/>
      <c r="J88" s="17"/>
    </row>
    <row r="89" ht="22.5" customHeight="1">
      <c r="A89" s="10">
        <v>46187.44868016204</v>
      </c>
      <c r="B89" s="15" t="s">
        <v>24</v>
      </c>
      <c r="C89" s="16">
        <v>46187.0</v>
      </c>
      <c r="D89" s="15" t="s">
        <v>70</v>
      </c>
      <c r="E89" s="15" t="s">
        <v>81</v>
      </c>
      <c r="F89" s="15" t="s">
        <v>17</v>
      </c>
      <c r="G89" s="15" t="s">
        <v>13</v>
      </c>
      <c r="H89" s="15" t="s">
        <v>14</v>
      </c>
      <c r="I89" s="17"/>
      <c r="J89" s="17"/>
    </row>
    <row r="90" ht="22.5" customHeight="1">
      <c r="A90" s="10">
        <v>46187.44944864583</v>
      </c>
      <c r="B90" s="15" t="s">
        <v>10</v>
      </c>
      <c r="C90" s="16">
        <v>46187.0</v>
      </c>
      <c r="D90" s="15" t="s">
        <v>70</v>
      </c>
      <c r="E90" s="15" t="s">
        <v>82</v>
      </c>
      <c r="F90" s="15" t="s">
        <v>17</v>
      </c>
      <c r="G90" s="15" t="s">
        <v>13</v>
      </c>
      <c r="H90" s="15" t="s">
        <v>14</v>
      </c>
      <c r="I90" s="17"/>
      <c r="J90" s="17"/>
    </row>
    <row r="91" ht="22.5" customHeight="1">
      <c r="A91" s="10">
        <v>46187.449928518516</v>
      </c>
      <c r="B91" s="15" t="s">
        <v>15</v>
      </c>
      <c r="C91" s="16">
        <v>46187.0</v>
      </c>
      <c r="D91" s="15" t="s">
        <v>70</v>
      </c>
      <c r="E91" s="15" t="s">
        <v>83</v>
      </c>
      <c r="F91" s="15" t="s">
        <v>17</v>
      </c>
      <c r="G91" s="15" t="s">
        <v>13</v>
      </c>
      <c r="H91" s="15" t="s">
        <v>14</v>
      </c>
      <c r="I91" s="17"/>
      <c r="J91" s="17"/>
    </row>
    <row r="92" ht="22.5" customHeight="1">
      <c r="A92" s="10">
        <v>46187.45051201389</v>
      </c>
      <c r="B92" s="15" t="s">
        <v>28</v>
      </c>
      <c r="C92" s="16">
        <v>46187.0</v>
      </c>
      <c r="D92" s="15" t="s">
        <v>84</v>
      </c>
      <c r="E92" s="15" t="s">
        <v>85</v>
      </c>
      <c r="F92" s="15" t="s">
        <v>17</v>
      </c>
      <c r="G92" s="15" t="s">
        <v>13</v>
      </c>
      <c r="H92" s="15" t="s">
        <v>14</v>
      </c>
      <c r="I92" s="17"/>
      <c r="J92" s="17"/>
    </row>
    <row r="93" ht="22.5" customHeight="1">
      <c r="A93" s="10">
        <v>46187.45164738426</v>
      </c>
      <c r="B93" s="15" t="s">
        <v>23</v>
      </c>
      <c r="C93" s="16">
        <v>46187.0</v>
      </c>
      <c r="D93" s="15" t="s">
        <v>77</v>
      </c>
      <c r="E93" s="15">
        <v>1.0</v>
      </c>
      <c r="F93" s="15" t="s">
        <v>17</v>
      </c>
      <c r="G93" s="15" t="s">
        <v>13</v>
      </c>
      <c r="H93" s="15" t="s">
        <v>14</v>
      </c>
      <c r="I93" s="17"/>
      <c r="J93" s="17"/>
    </row>
    <row r="94" ht="22.5" customHeight="1">
      <c r="A94" s="10">
        <v>46187.45215347222</v>
      </c>
      <c r="B94" s="15" t="s">
        <v>21</v>
      </c>
      <c r="C94" s="16">
        <v>46187.0</v>
      </c>
      <c r="D94" s="15" t="s">
        <v>70</v>
      </c>
      <c r="E94" s="15">
        <v>2.0</v>
      </c>
      <c r="F94" s="15" t="s">
        <v>17</v>
      </c>
      <c r="G94" s="15" t="s">
        <v>13</v>
      </c>
      <c r="H94" s="15" t="s">
        <v>14</v>
      </c>
      <c r="I94" s="17"/>
      <c r="J94" s="17"/>
    </row>
    <row r="95" ht="22.5" customHeight="1">
      <c r="A95" s="10">
        <v>46187.45317170139</v>
      </c>
      <c r="B95" s="15" t="s">
        <v>31</v>
      </c>
      <c r="C95" s="16">
        <v>46187.0</v>
      </c>
      <c r="D95" s="15" t="s">
        <v>77</v>
      </c>
      <c r="E95" s="15" t="s">
        <v>86</v>
      </c>
      <c r="F95" s="15" t="s">
        <v>17</v>
      </c>
      <c r="G95" s="15" t="s">
        <v>13</v>
      </c>
      <c r="H95" s="15" t="s">
        <v>14</v>
      </c>
      <c r="I95" s="17"/>
      <c r="J95" s="17"/>
    </row>
    <row r="96" ht="22.5" customHeight="1">
      <c r="A96" s="10">
        <v>46187.454039398144</v>
      </c>
      <c r="B96" s="15" t="s">
        <v>32</v>
      </c>
      <c r="C96" s="16">
        <v>46187.0</v>
      </c>
      <c r="D96" s="15" t="s">
        <v>77</v>
      </c>
      <c r="E96" s="15" t="s">
        <v>86</v>
      </c>
      <c r="F96" s="15" t="s">
        <v>17</v>
      </c>
      <c r="G96" s="15" t="s">
        <v>13</v>
      </c>
      <c r="H96" s="15" t="s">
        <v>14</v>
      </c>
      <c r="I96" s="17"/>
      <c r="J96" s="17"/>
    </row>
    <row r="97" ht="22.5" customHeight="1">
      <c r="A97" s="10">
        <v>46187.45451928241</v>
      </c>
      <c r="B97" s="15" t="s">
        <v>10</v>
      </c>
      <c r="C97" s="16">
        <v>46187.0</v>
      </c>
      <c r="D97" s="15" t="s">
        <v>70</v>
      </c>
      <c r="E97" s="15" t="s">
        <v>85</v>
      </c>
      <c r="F97" s="15" t="s">
        <v>17</v>
      </c>
      <c r="G97" s="15" t="s">
        <v>13</v>
      </c>
      <c r="H97" s="15" t="s">
        <v>45</v>
      </c>
      <c r="I97" s="17"/>
      <c r="J97" s="17"/>
    </row>
    <row r="98" ht="22.5" customHeight="1">
      <c r="A98" s="10">
        <v>46187.454898599535</v>
      </c>
      <c r="B98" s="15" t="s">
        <v>28</v>
      </c>
      <c r="C98" s="16">
        <v>46187.0</v>
      </c>
      <c r="D98" s="15" t="s">
        <v>70</v>
      </c>
      <c r="E98" s="15" t="s">
        <v>75</v>
      </c>
      <c r="F98" s="15" t="s">
        <v>17</v>
      </c>
      <c r="G98" s="15" t="s">
        <v>13</v>
      </c>
      <c r="H98" s="15" t="s">
        <v>45</v>
      </c>
      <c r="I98" s="17"/>
      <c r="J98" s="17"/>
    </row>
    <row r="99" ht="22.5" customHeight="1">
      <c r="A99" s="10">
        <v>46187.45552427083</v>
      </c>
      <c r="B99" s="15" t="s">
        <v>15</v>
      </c>
      <c r="C99" s="16">
        <v>46187.0</v>
      </c>
      <c r="D99" s="15" t="s">
        <v>70</v>
      </c>
      <c r="E99" s="15" t="s">
        <v>87</v>
      </c>
      <c r="F99" s="15" t="s">
        <v>17</v>
      </c>
      <c r="G99" s="15" t="s">
        <v>13</v>
      </c>
      <c r="H99" s="15" t="s">
        <v>45</v>
      </c>
      <c r="I99" s="17"/>
      <c r="J99" s="17"/>
    </row>
    <row r="100" ht="22.5" customHeight="1">
      <c r="A100" s="10">
        <v>46187.45614741898</v>
      </c>
      <c r="B100" s="15" t="s">
        <v>23</v>
      </c>
      <c r="C100" s="16">
        <v>46187.0</v>
      </c>
      <c r="D100" s="15" t="s">
        <v>70</v>
      </c>
      <c r="E100" s="15">
        <v>1.0</v>
      </c>
      <c r="F100" s="15" t="s">
        <v>17</v>
      </c>
      <c r="G100" s="15" t="s">
        <v>13</v>
      </c>
      <c r="H100" s="15" t="s">
        <v>45</v>
      </c>
      <c r="I100" s="17"/>
      <c r="J100" s="17"/>
    </row>
    <row r="101" ht="22.5" customHeight="1">
      <c r="A101" s="10">
        <v>46187.45737715278</v>
      </c>
      <c r="B101" s="15" t="s">
        <v>21</v>
      </c>
      <c r="C101" s="16">
        <v>46187.0</v>
      </c>
      <c r="D101" s="15" t="s">
        <v>70</v>
      </c>
      <c r="E101" s="15">
        <v>1.0</v>
      </c>
      <c r="F101" s="15" t="s">
        <v>17</v>
      </c>
      <c r="G101" s="15" t="s">
        <v>13</v>
      </c>
      <c r="H101" s="15" t="s">
        <v>45</v>
      </c>
      <c r="I101" s="17"/>
      <c r="J101" s="17"/>
    </row>
    <row r="102" ht="22.5" customHeight="1">
      <c r="A102" s="10">
        <v>46188.73858356482</v>
      </c>
      <c r="B102" s="15" t="s">
        <v>28</v>
      </c>
      <c r="C102" s="16">
        <v>46188.0</v>
      </c>
      <c r="D102" s="15" t="s">
        <v>70</v>
      </c>
      <c r="E102" s="15" t="s">
        <v>44</v>
      </c>
      <c r="F102" s="15" t="s">
        <v>17</v>
      </c>
      <c r="G102" s="15" t="s">
        <v>34</v>
      </c>
      <c r="H102" s="15" t="s">
        <v>35</v>
      </c>
      <c r="I102" s="17"/>
      <c r="J102" s="17"/>
    </row>
    <row r="103" ht="22.5" customHeight="1">
      <c r="A103" s="10">
        <v>46188.73897443287</v>
      </c>
      <c r="B103" s="15" t="s">
        <v>10</v>
      </c>
      <c r="C103" s="16">
        <v>46188.0</v>
      </c>
      <c r="D103" s="15" t="s">
        <v>70</v>
      </c>
      <c r="E103" s="15" t="s">
        <v>26</v>
      </c>
      <c r="F103" s="15" t="s">
        <v>17</v>
      </c>
      <c r="G103" s="15" t="s">
        <v>34</v>
      </c>
      <c r="H103" s="15" t="s">
        <v>35</v>
      </c>
      <c r="I103" s="17"/>
      <c r="J103" s="17"/>
    </row>
    <row r="104" ht="22.5" customHeight="1">
      <c r="A104" s="10">
        <v>46188.74020584491</v>
      </c>
      <c r="B104" s="15" t="s">
        <v>40</v>
      </c>
      <c r="C104" s="16">
        <v>46188.0</v>
      </c>
      <c r="D104" s="15" t="s">
        <v>70</v>
      </c>
      <c r="E104" s="15" t="s">
        <v>48</v>
      </c>
      <c r="F104" s="15" t="s">
        <v>17</v>
      </c>
      <c r="G104" s="15" t="s">
        <v>13</v>
      </c>
      <c r="H104" s="15" t="s">
        <v>58</v>
      </c>
      <c r="I104" s="17"/>
      <c r="J104" s="17"/>
    </row>
    <row r="105" ht="22.5" customHeight="1">
      <c r="A105" s="10">
        <v>46188.74079476851</v>
      </c>
      <c r="B105" s="15" t="s">
        <v>15</v>
      </c>
      <c r="C105" s="16">
        <v>46188.0</v>
      </c>
      <c r="D105" s="15" t="s">
        <v>70</v>
      </c>
      <c r="E105" s="15" t="s">
        <v>11</v>
      </c>
      <c r="F105" s="15" t="s">
        <v>17</v>
      </c>
      <c r="G105" s="15" t="s">
        <v>13</v>
      </c>
      <c r="H105" s="15" t="s">
        <v>20</v>
      </c>
      <c r="I105" s="17"/>
      <c r="J105" s="17"/>
    </row>
    <row r="106" ht="22.5" customHeight="1">
      <c r="A106" s="10">
        <v>46188.74139810185</v>
      </c>
      <c r="B106" s="15" t="s">
        <v>31</v>
      </c>
      <c r="C106" s="16">
        <v>46188.0</v>
      </c>
      <c r="D106" s="15" t="s">
        <v>70</v>
      </c>
      <c r="E106" s="15" t="s">
        <v>33</v>
      </c>
      <c r="F106" s="15" t="s">
        <v>17</v>
      </c>
      <c r="G106" s="15" t="s">
        <v>13</v>
      </c>
      <c r="H106" s="15" t="s">
        <v>58</v>
      </c>
      <c r="I106" s="17"/>
      <c r="J106" s="17"/>
    </row>
    <row r="107" ht="22.5" customHeight="1">
      <c r="A107" s="10">
        <v>46188.74177966436</v>
      </c>
      <c r="B107" s="15" t="s">
        <v>32</v>
      </c>
      <c r="C107" s="16">
        <v>46188.0</v>
      </c>
      <c r="D107" s="15" t="s">
        <v>70</v>
      </c>
      <c r="E107" s="15" t="s">
        <v>33</v>
      </c>
      <c r="F107" s="15" t="s">
        <v>17</v>
      </c>
      <c r="G107" s="15" t="s">
        <v>13</v>
      </c>
      <c r="H107" s="15" t="s">
        <v>58</v>
      </c>
      <c r="I107" s="17"/>
      <c r="J107" s="17"/>
    </row>
    <row r="108" ht="22.5" customHeight="1">
      <c r="A108" s="10">
        <v>46188.74223903935</v>
      </c>
      <c r="B108" s="15" t="s">
        <v>15</v>
      </c>
      <c r="C108" s="16">
        <v>46188.0</v>
      </c>
      <c r="D108" s="15" t="s">
        <v>70</v>
      </c>
      <c r="E108" s="15" t="s">
        <v>11</v>
      </c>
      <c r="F108" s="15" t="s">
        <v>17</v>
      </c>
      <c r="G108" s="15" t="s">
        <v>13</v>
      </c>
      <c r="H108" s="15" t="s">
        <v>35</v>
      </c>
      <c r="I108" s="17"/>
      <c r="J108" s="17"/>
    </row>
    <row r="109" ht="22.5" customHeight="1">
      <c r="A109" s="18">
        <v>46191.51601594908</v>
      </c>
      <c r="B109" s="19" t="s">
        <v>10</v>
      </c>
      <c r="C109" s="20">
        <v>46191.0</v>
      </c>
      <c r="D109" s="19" t="s">
        <v>70</v>
      </c>
      <c r="E109" s="19" t="s">
        <v>88</v>
      </c>
      <c r="F109" s="19" t="s">
        <v>17</v>
      </c>
      <c r="G109" s="19" t="s">
        <v>34</v>
      </c>
      <c r="H109" s="19" t="s">
        <v>35</v>
      </c>
    </row>
    <row r="110" ht="22.5" customHeight="1">
      <c r="A110" s="18">
        <v>46191.51960969907</v>
      </c>
      <c r="B110" s="19" t="s">
        <v>28</v>
      </c>
      <c r="C110" s="20">
        <v>46191.0</v>
      </c>
      <c r="D110" s="19" t="s">
        <v>70</v>
      </c>
      <c r="E110" s="19" t="s">
        <v>82</v>
      </c>
      <c r="F110" s="19" t="s">
        <v>17</v>
      </c>
      <c r="G110" s="19" t="s">
        <v>34</v>
      </c>
      <c r="H110" s="19" t="s">
        <v>35</v>
      </c>
    </row>
    <row r="111" ht="22.5" customHeight="1">
      <c r="A111" s="18">
        <v>46191.522484155095</v>
      </c>
      <c r="B111" s="19" t="s">
        <v>53</v>
      </c>
      <c r="C111" s="20">
        <v>46191.0</v>
      </c>
      <c r="D111" s="19" t="s">
        <v>77</v>
      </c>
      <c r="E111" s="19">
        <v>2.0</v>
      </c>
      <c r="F111" s="19" t="s">
        <v>17</v>
      </c>
      <c r="G111" s="19" t="s">
        <v>34</v>
      </c>
      <c r="H111" s="19" t="s">
        <v>35</v>
      </c>
    </row>
    <row r="112" ht="22.5" customHeight="1">
      <c r="A112" s="18">
        <v>46191.52318142361</v>
      </c>
      <c r="B112" s="19" t="s">
        <v>23</v>
      </c>
      <c r="C112" s="20">
        <v>46191.0</v>
      </c>
      <c r="D112" s="19" t="s">
        <v>77</v>
      </c>
      <c r="E112" s="19">
        <v>1.0</v>
      </c>
      <c r="F112" s="19" t="s">
        <v>17</v>
      </c>
      <c r="G112" s="19" t="s">
        <v>13</v>
      </c>
      <c r="H112" s="19" t="s">
        <v>35</v>
      </c>
    </row>
    <row r="113" ht="22.5" customHeight="1">
      <c r="A113" s="18">
        <v>46191.523585752315</v>
      </c>
      <c r="B113" s="19" t="s">
        <v>10</v>
      </c>
      <c r="C113" s="20">
        <v>46191.0</v>
      </c>
      <c r="D113" s="19" t="s">
        <v>70</v>
      </c>
      <c r="E113" s="19" t="s">
        <v>82</v>
      </c>
      <c r="F113" s="19" t="s">
        <v>17</v>
      </c>
      <c r="G113" s="19" t="s">
        <v>13</v>
      </c>
      <c r="H113" s="19" t="s">
        <v>35</v>
      </c>
    </row>
    <row r="114" ht="22.5" customHeight="1">
      <c r="A114" s="18">
        <v>46191.523980625</v>
      </c>
      <c r="B114" s="19" t="s">
        <v>89</v>
      </c>
      <c r="C114" s="20">
        <v>46191.0</v>
      </c>
      <c r="D114" s="19" t="s">
        <v>70</v>
      </c>
      <c r="E114" s="19" t="s">
        <v>90</v>
      </c>
      <c r="F114" s="19" t="s">
        <v>17</v>
      </c>
      <c r="G114" s="19" t="s">
        <v>13</v>
      </c>
      <c r="H114" s="19" t="s">
        <v>35</v>
      </c>
    </row>
    <row r="115" ht="22.5" customHeight="1">
      <c r="A115" s="18">
        <v>46191.52436880787</v>
      </c>
      <c r="B115" s="19" t="s">
        <v>32</v>
      </c>
      <c r="C115" s="20">
        <v>46191.0</v>
      </c>
      <c r="D115" s="19" t="s">
        <v>70</v>
      </c>
      <c r="E115" s="19" t="s">
        <v>91</v>
      </c>
      <c r="F115" s="19" t="s">
        <v>17</v>
      </c>
      <c r="G115" s="19" t="s">
        <v>13</v>
      </c>
      <c r="H115" s="19" t="s">
        <v>35</v>
      </c>
    </row>
    <row r="116" ht="22.5" customHeight="1">
      <c r="A116" s="18">
        <v>46191.52480559028</v>
      </c>
      <c r="B116" s="19" t="s">
        <v>28</v>
      </c>
      <c r="C116" s="20">
        <v>46191.0</v>
      </c>
      <c r="D116" s="19" t="s">
        <v>70</v>
      </c>
      <c r="E116" s="19" t="s">
        <v>92</v>
      </c>
      <c r="F116" s="19" t="s">
        <v>17</v>
      </c>
      <c r="G116" s="19" t="s">
        <v>13</v>
      </c>
      <c r="H116" s="19" t="s">
        <v>35</v>
      </c>
    </row>
    <row r="117" ht="22.5" customHeight="1">
      <c r="A117" s="18">
        <v>46191.525296493055</v>
      </c>
      <c r="B117" s="19" t="s">
        <v>15</v>
      </c>
      <c r="C117" s="20">
        <v>46191.0</v>
      </c>
      <c r="D117" s="19" t="s">
        <v>70</v>
      </c>
      <c r="E117" s="19" t="s">
        <v>83</v>
      </c>
      <c r="F117" s="19" t="s">
        <v>17</v>
      </c>
      <c r="G117" s="19" t="s">
        <v>13</v>
      </c>
      <c r="H117" s="19" t="s">
        <v>35</v>
      </c>
    </row>
    <row r="118" ht="22.5" customHeight="1">
      <c r="A118" s="18">
        <v>46191.52589844908</v>
      </c>
      <c r="B118" s="19" t="s">
        <v>28</v>
      </c>
      <c r="C118" s="20">
        <v>46190.0</v>
      </c>
      <c r="D118" s="19" t="s">
        <v>70</v>
      </c>
      <c r="E118" s="19" t="s">
        <v>54</v>
      </c>
      <c r="F118" s="19" t="s">
        <v>17</v>
      </c>
      <c r="G118" s="19" t="s">
        <v>34</v>
      </c>
      <c r="H118" s="19" t="s">
        <v>93</v>
      </c>
    </row>
    <row r="119" ht="22.5" customHeight="1">
      <c r="A119" s="18">
        <v>46191.52697594908</v>
      </c>
      <c r="B119" s="19" t="s">
        <v>15</v>
      </c>
      <c r="C119" s="20">
        <v>46190.0</v>
      </c>
      <c r="D119" s="19" t="s">
        <v>70</v>
      </c>
      <c r="E119" s="19" t="s">
        <v>94</v>
      </c>
      <c r="F119" s="19" t="s">
        <v>17</v>
      </c>
      <c r="G119" s="19" t="s">
        <v>13</v>
      </c>
      <c r="H119" s="19" t="s">
        <v>14</v>
      </c>
    </row>
    <row r="120" ht="22.5" customHeight="1">
      <c r="A120" s="18">
        <v>46191.52755724537</v>
      </c>
      <c r="B120" s="19" t="s">
        <v>28</v>
      </c>
      <c r="C120" s="20">
        <v>46190.0</v>
      </c>
      <c r="D120" s="19" t="s">
        <v>70</v>
      </c>
      <c r="E120" s="19" t="s">
        <v>82</v>
      </c>
      <c r="F120" s="19" t="s">
        <v>17</v>
      </c>
      <c r="G120" s="19" t="s">
        <v>13</v>
      </c>
      <c r="H120" s="19" t="s">
        <v>14</v>
      </c>
    </row>
    <row r="121" ht="22.5" customHeight="1">
      <c r="A121" s="18">
        <v>46191.52802445602</v>
      </c>
      <c r="B121" s="19" t="s">
        <v>10</v>
      </c>
      <c r="C121" s="20">
        <v>46190.0</v>
      </c>
      <c r="D121" s="19" t="s">
        <v>70</v>
      </c>
      <c r="E121" s="19" t="s">
        <v>95</v>
      </c>
      <c r="F121" s="19" t="s">
        <v>17</v>
      </c>
      <c r="H121" s="19" t="s">
        <v>14</v>
      </c>
    </row>
    <row r="122" ht="22.5" customHeight="1">
      <c r="A122" s="18">
        <v>46191.52836611111</v>
      </c>
      <c r="B122" s="19" t="s">
        <v>24</v>
      </c>
      <c r="C122" s="20">
        <v>46190.0</v>
      </c>
      <c r="D122" s="19" t="s">
        <v>70</v>
      </c>
      <c r="E122" s="19" t="s">
        <v>96</v>
      </c>
      <c r="F122" s="19" t="s">
        <v>17</v>
      </c>
      <c r="G122" s="19" t="s">
        <v>13</v>
      </c>
      <c r="H122" s="19" t="s">
        <v>14</v>
      </c>
    </row>
    <row r="123" ht="22.5" customHeight="1">
      <c r="A123" s="18">
        <v>46191.52925259259</v>
      </c>
      <c r="B123" s="19" t="s">
        <v>23</v>
      </c>
      <c r="C123" s="20">
        <v>46189.0</v>
      </c>
      <c r="D123" s="19" t="s">
        <v>77</v>
      </c>
      <c r="E123" s="19">
        <v>1.0</v>
      </c>
      <c r="F123" s="19" t="s">
        <v>17</v>
      </c>
      <c r="G123" s="19" t="s">
        <v>13</v>
      </c>
      <c r="H123" s="19" t="s">
        <v>35</v>
      </c>
    </row>
    <row r="124" ht="22.5" customHeight="1">
      <c r="A124" s="18">
        <v>46191.53058747685</v>
      </c>
      <c r="B124" s="19" t="s">
        <v>21</v>
      </c>
      <c r="C124" s="20">
        <v>46189.0</v>
      </c>
      <c r="D124" s="19" t="s">
        <v>77</v>
      </c>
      <c r="E124" s="19">
        <v>1.0</v>
      </c>
      <c r="F124" s="19" t="s">
        <v>17</v>
      </c>
      <c r="G124" s="19" t="s">
        <v>13</v>
      </c>
      <c r="H124" s="19" t="s">
        <v>35</v>
      </c>
    </row>
    <row r="125" ht="22.5" customHeight="1">
      <c r="A125" s="18">
        <v>46191.53138054398</v>
      </c>
      <c r="B125" s="19" t="s">
        <v>31</v>
      </c>
      <c r="C125" s="20">
        <v>46189.0</v>
      </c>
      <c r="D125" s="19" t="s">
        <v>73</v>
      </c>
      <c r="E125" s="19">
        <v>120.0</v>
      </c>
      <c r="F125" s="19" t="s">
        <v>17</v>
      </c>
      <c r="G125" s="19" t="s">
        <v>13</v>
      </c>
      <c r="H125" s="19" t="s">
        <v>35</v>
      </c>
    </row>
    <row r="126" ht="22.5" customHeight="1">
      <c r="A126" s="18">
        <v>46191.53232238426</v>
      </c>
      <c r="B126" s="19" t="s">
        <v>32</v>
      </c>
      <c r="C126" s="20">
        <v>46189.0</v>
      </c>
      <c r="D126" s="19" t="s">
        <v>73</v>
      </c>
      <c r="E126" s="19" t="s">
        <v>97</v>
      </c>
      <c r="F126" s="19" t="s">
        <v>17</v>
      </c>
      <c r="G126" s="19" t="s">
        <v>13</v>
      </c>
      <c r="H126" s="19" t="s">
        <v>35</v>
      </c>
    </row>
    <row r="127" ht="22.5" customHeight="1">
      <c r="A127" s="18">
        <v>46191.53320288194</v>
      </c>
      <c r="B127" s="19" t="s">
        <v>98</v>
      </c>
      <c r="C127" s="20">
        <v>46189.0</v>
      </c>
      <c r="D127" s="19" t="s">
        <v>77</v>
      </c>
      <c r="E127" s="19">
        <v>30.0</v>
      </c>
      <c r="F127" s="19" t="s">
        <v>17</v>
      </c>
      <c r="G127" s="19" t="s">
        <v>13</v>
      </c>
      <c r="H127" s="19" t="s">
        <v>35</v>
      </c>
    </row>
    <row r="128" ht="22.5" customHeight="1">
      <c r="A128" s="18">
        <v>46191.53418145834</v>
      </c>
      <c r="B128" s="19" t="s">
        <v>15</v>
      </c>
      <c r="C128" s="20">
        <v>46189.0</v>
      </c>
      <c r="D128" s="19" t="s">
        <v>70</v>
      </c>
      <c r="E128" s="19" t="s">
        <v>75</v>
      </c>
      <c r="F128" s="19" t="s">
        <v>17</v>
      </c>
      <c r="G128" s="19" t="s">
        <v>13</v>
      </c>
      <c r="H128" s="19" t="s">
        <v>14</v>
      </c>
    </row>
    <row r="129" ht="22.5" customHeight="1">
      <c r="A129" s="18">
        <v>46191.53461890046</v>
      </c>
      <c r="B129" s="19" t="s">
        <v>28</v>
      </c>
      <c r="C129" s="20">
        <v>46189.0</v>
      </c>
      <c r="D129" s="19" t="s">
        <v>70</v>
      </c>
      <c r="E129" s="19" t="s">
        <v>82</v>
      </c>
      <c r="F129" s="19" t="s">
        <v>17</v>
      </c>
      <c r="G129" s="19" t="s">
        <v>13</v>
      </c>
      <c r="H129" s="19" t="s">
        <v>14</v>
      </c>
    </row>
    <row r="130" ht="22.5" customHeight="1">
      <c r="A130" s="18">
        <v>46191.535319745366</v>
      </c>
      <c r="B130" s="19" t="s">
        <v>10</v>
      </c>
      <c r="C130" s="20">
        <v>46189.0</v>
      </c>
      <c r="D130" s="19" t="s">
        <v>70</v>
      </c>
      <c r="E130" s="19" t="s">
        <v>63</v>
      </c>
      <c r="F130" s="19" t="s">
        <v>17</v>
      </c>
      <c r="G130" s="19" t="s">
        <v>13</v>
      </c>
      <c r="H130" s="19" t="s">
        <v>14</v>
      </c>
    </row>
    <row r="131" ht="22.5" customHeight="1">
      <c r="A131" s="18">
        <v>46191.53623229166</v>
      </c>
      <c r="B131" s="19" t="s">
        <v>15</v>
      </c>
      <c r="C131" s="20">
        <v>46189.0</v>
      </c>
      <c r="D131" s="19" t="s">
        <v>70</v>
      </c>
      <c r="E131" s="19" t="s">
        <v>85</v>
      </c>
      <c r="F131" s="19" t="s">
        <v>17</v>
      </c>
      <c r="G131" s="19" t="s">
        <v>13</v>
      </c>
      <c r="H131" s="19" t="s">
        <v>20</v>
      </c>
    </row>
    <row r="132" ht="22.5" customHeight="1">
      <c r="A132" s="18">
        <v>46193.78626494213</v>
      </c>
      <c r="B132" s="19" t="s">
        <v>15</v>
      </c>
      <c r="C132" s="20">
        <v>46192.0</v>
      </c>
      <c r="D132" s="19" t="s">
        <v>70</v>
      </c>
      <c r="E132" s="19" t="s">
        <v>75</v>
      </c>
      <c r="F132" s="19" t="s">
        <v>17</v>
      </c>
      <c r="G132" s="19" t="s">
        <v>13</v>
      </c>
      <c r="H132" s="19" t="s">
        <v>20</v>
      </c>
    </row>
    <row r="133" ht="22.5" customHeight="1">
      <c r="A133" s="18">
        <v>46193.78730496528</v>
      </c>
      <c r="B133" s="19" t="s">
        <v>31</v>
      </c>
      <c r="C133" s="20">
        <v>46192.0</v>
      </c>
      <c r="D133" s="19" t="s">
        <v>70</v>
      </c>
      <c r="E133" s="19" t="s">
        <v>83</v>
      </c>
      <c r="F133" s="19" t="s">
        <v>17</v>
      </c>
      <c r="G133" s="19" t="s">
        <v>13</v>
      </c>
      <c r="H133" s="19" t="s">
        <v>58</v>
      </c>
    </row>
    <row r="134" ht="22.5" customHeight="1">
      <c r="A134" s="18">
        <v>46193.78778614583</v>
      </c>
      <c r="B134" s="19" t="s">
        <v>99</v>
      </c>
      <c r="C134" s="20">
        <v>46192.0</v>
      </c>
      <c r="D134" s="19" t="s">
        <v>70</v>
      </c>
      <c r="E134" s="19" t="s">
        <v>100</v>
      </c>
      <c r="F134" s="19" t="s">
        <v>17</v>
      </c>
      <c r="G134" s="19" t="s">
        <v>13</v>
      </c>
      <c r="H134" s="19" t="s">
        <v>58</v>
      </c>
    </row>
    <row r="135" ht="22.5" customHeight="1">
      <c r="A135" s="18">
        <v>46193.788282951384</v>
      </c>
      <c r="B135" s="19" t="s">
        <v>32</v>
      </c>
      <c r="C135" s="20">
        <v>46192.0</v>
      </c>
      <c r="D135" s="19" t="s">
        <v>70</v>
      </c>
      <c r="E135" s="19" t="s">
        <v>83</v>
      </c>
      <c r="F135" s="19" t="s">
        <v>17</v>
      </c>
      <c r="G135" s="19" t="s">
        <v>13</v>
      </c>
      <c r="H135" s="19" t="s">
        <v>58</v>
      </c>
    </row>
    <row r="136" ht="22.5" customHeight="1">
      <c r="A136" s="18">
        <v>46193.788743599536</v>
      </c>
      <c r="B136" s="19" t="s">
        <v>28</v>
      </c>
      <c r="C136" s="20">
        <v>46192.0</v>
      </c>
      <c r="D136" s="19" t="s">
        <v>70</v>
      </c>
      <c r="E136" s="19" t="s">
        <v>101</v>
      </c>
      <c r="F136" s="19" t="s">
        <v>17</v>
      </c>
      <c r="G136" s="19" t="s">
        <v>34</v>
      </c>
      <c r="H136" s="19" t="s">
        <v>35</v>
      </c>
    </row>
    <row r="137" ht="22.5" customHeight="1">
      <c r="A137" s="18">
        <v>46193.78916784722</v>
      </c>
      <c r="B137" s="19" t="s">
        <v>23</v>
      </c>
      <c r="C137" s="20">
        <v>46192.0</v>
      </c>
      <c r="D137" s="19" t="s">
        <v>70</v>
      </c>
      <c r="E137" s="19">
        <v>4.0</v>
      </c>
      <c r="F137" s="19" t="s">
        <v>17</v>
      </c>
      <c r="G137" s="19" t="s">
        <v>34</v>
      </c>
      <c r="H137" s="19" t="s">
        <v>56</v>
      </c>
    </row>
    <row r="138" ht="22.5" customHeight="1">
      <c r="A138" s="18">
        <v>46193.789555208336</v>
      </c>
      <c r="B138" s="19" t="s">
        <v>21</v>
      </c>
      <c r="C138" s="20">
        <v>46192.0</v>
      </c>
      <c r="D138" s="19" t="s">
        <v>70</v>
      </c>
      <c r="E138" s="19">
        <v>4.0</v>
      </c>
      <c r="F138" s="19" t="s">
        <v>17</v>
      </c>
      <c r="G138" s="19" t="s">
        <v>34</v>
      </c>
      <c r="H138" s="19" t="s">
        <v>56</v>
      </c>
    </row>
    <row r="139" ht="22.5" customHeight="1">
      <c r="A139" s="18">
        <v>46193.79006289352</v>
      </c>
      <c r="B139" s="19" t="s">
        <v>10</v>
      </c>
      <c r="C139" s="20">
        <v>46192.0</v>
      </c>
      <c r="D139" s="19" t="s">
        <v>70</v>
      </c>
      <c r="E139" s="19" t="s">
        <v>101</v>
      </c>
      <c r="F139" s="19" t="s">
        <v>17</v>
      </c>
      <c r="G139" s="19" t="s">
        <v>34</v>
      </c>
      <c r="H139" s="19" t="s">
        <v>35</v>
      </c>
    </row>
    <row r="140" ht="22.5" customHeight="1">
      <c r="A140" s="18">
        <v>46193.79047690972</v>
      </c>
      <c r="B140" s="19" t="s">
        <v>40</v>
      </c>
      <c r="C140" s="20">
        <v>46192.0</v>
      </c>
      <c r="D140" s="19" t="s">
        <v>70</v>
      </c>
      <c r="E140" s="19" t="s">
        <v>102</v>
      </c>
      <c r="F140" s="19" t="s">
        <v>17</v>
      </c>
      <c r="G140" s="19" t="s">
        <v>34</v>
      </c>
      <c r="H140" s="19" t="s">
        <v>39</v>
      </c>
    </row>
    <row r="141" ht="22.5" customHeight="1">
      <c r="A141" s="18">
        <v>46193.79089344907</v>
      </c>
      <c r="B141" s="19" t="s">
        <v>22</v>
      </c>
      <c r="C141" s="20">
        <v>46192.0</v>
      </c>
      <c r="D141" s="19" t="s">
        <v>70</v>
      </c>
      <c r="E141" s="19" t="s">
        <v>103</v>
      </c>
      <c r="F141" s="19" t="s">
        <v>17</v>
      </c>
      <c r="G141" s="19" t="s">
        <v>34</v>
      </c>
      <c r="H141" s="19" t="s">
        <v>39</v>
      </c>
    </row>
    <row r="142" ht="22.5" customHeight="1">
      <c r="A142" s="18">
        <v>46193.791279074074</v>
      </c>
      <c r="B142" s="19" t="s">
        <v>15</v>
      </c>
      <c r="C142" s="20">
        <v>46192.0</v>
      </c>
      <c r="D142" s="19" t="s">
        <v>70</v>
      </c>
      <c r="E142" s="19" t="s">
        <v>55</v>
      </c>
      <c r="F142" s="19" t="s">
        <v>17</v>
      </c>
      <c r="G142" s="19" t="s">
        <v>34</v>
      </c>
      <c r="H142" s="19" t="s">
        <v>39</v>
      </c>
    </row>
    <row r="143" ht="22.5" customHeight="1">
      <c r="A143" s="18">
        <v>46193.791688287034</v>
      </c>
      <c r="B143" s="19" t="s">
        <v>23</v>
      </c>
      <c r="C143" s="20">
        <v>46192.0</v>
      </c>
      <c r="D143" s="19" t="s">
        <v>70</v>
      </c>
      <c r="E143" s="19">
        <v>2.0</v>
      </c>
      <c r="F143" s="19" t="s">
        <v>17</v>
      </c>
      <c r="G143" s="19" t="s">
        <v>34</v>
      </c>
      <c r="H143" s="19" t="s">
        <v>39</v>
      </c>
    </row>
    <row r="144">
      <c r="A144" s="21"/>
      <c r="B144" s="22"/>
      <c r="C144" s="22"/>
      <c r="D144" s="22"/>
      <c r="E144" s="22"/>
      <c r="F144" s="22"/>
      <c r="G144" s="22"/>
      <c r="H144" s="22"/>
      <c r="I144" s="22"/>
      <c r="J144" s="22"/>
      <c r="K144" s="9"/>
      <c r="L144" s="9"/>
      <c r="M144" s="9"/>
      <c r="N144" s="9"/>
      <c r="O144" s="9"/>
      <c r="P144" s="9"/>
    </row>
    <row r="145">
      <c r="A145" s="21"/>
      <c r="B145" s="22"/>
      <c r="C145" s="22"/>
      <c r="D145" s="22"/>
      <c r="E145" s="22"/>
      <c r="F145" s="22"/>
      <c r="G145" s="22"/>
      <c r="H145" s="22"/>
      <c r="I145" s="22"/>
      <c r="J145" s="22"/>
      <c r="K145" s="9"/>
      <c r="L145" s="9"/>
      <c r="M145" s="9"/>
      <c r="N145" s="9"/>
      <c r="O145" s="9"/>
      <c r="P145" s="9"/>
    </row>
    <row r="146">
      <c r="A146" s="21"/>
      <c r="B146" s="22"/>
      <c r="C146" s="22"/>
      <c r="D146" s="22"/>
      <c r="E146" s="22"/>
      <c r="F146" s="22"/>
      <c r="G146" s="22"/>
      <c r="H146" s="22"/>
      <c r="I146" s="22"/>
      <c r="J146" s="22"/>
      <c r="K146" s="9"/>
      <c r="L146" s="9"/>
      <c r="M146" s="9"/>
      <c r="N146" s="9"/>
      <c r="O146" s="9"/>
      <c r="P146" s="9"/>
    </row>
    <row r="147">
      <c r="A147" s="21"/>
      <c r="B147" s="22"/>
      <c r="C147" s="22"/>
      <c r="D147" s="22"/>
      <c r="E147" s="22"/>
      <c r="F147" s="22"/>
      <c r="G147" s="22"/>
      <c r="H147" s="22"/>
      <c r="I147" s="22"/>
      <c r="J147" s="22"/>
      <c r="K147" s="9"/>
      <c r="L147" s="9"/>
      <c r="M147" s="9"/>
      <c r="N147" s="9"/>
      <c r="O147" s="9"/>
      <c r="P147" s="9"/>
    </row>
    <row r="148">
      <c r="A148" s="21"/>
      <c r="B148" s="22"/>
      <c r="C148" s="22"/>
      <c r="D148" s="22"/>
      <c r="E148" s="22"/>
      <c r="F148" s="22"/>
      <c r="G148" s="22"/>
      <c r="H148" s="22"/>
      <c r="I148" s="22"/>
      <c r="J148" s="22"/>
      <c r="K148" s="9"/>
      <c r="L148" s="9"/>
      <c r="M148" s="9"/>
      <c r="N148" s="9"/>
      <c r="O148" s="9"/>
      <c r="P148" s="9"/>
    </row>
    <row r="149">
      <c r="A149" s="21"/>
      <c r="B149" s="22"/>
      <c r="C149" s="22"/>
      <c r="D149" s="22"/>
      <c r="E149" s="22"/>
      <c r="F149" s="22"/>
      <c r="G149" s="22"/>
      <c r="H149" s="22"/>
      <c r="I149" s="22"/>
      <c r="J149" s="22"/>
      <c r="K149" s="9"/>
      <c r="L149" s="9"/>
      <c r="M149" s="9"/>
      <c r="N149" s="9"/>
      <c r="O149" s="9"/>
      <c r="P149" s="9"/>
    </row>
    <row r="150">
      <c r="A150" s="21"/>
      <c r="B150" s="22"/>
      <c r="C150" s="22"/>
      <c r="D150" s="22"/>
      <c r="E150" s="22"/>
      <c r="F150" s="22"/>
      <c r="G150" s="22"/>
      <c r="H150" s="22"/>
      <c r="I150" s="22"/>
      <c r="J150" s="22"/>
      <c r="K150" s="9"/>
      <c r="L150" s="9"/>
      <c r="M150" s="9"/>
      <c r="N150" s="9"/>
      <c r="O150" s="9"/>
      <c r="P150" s="9"/>
    </row>
    <row r="151">
      <c r="A151" s="21"/>
      <c r="B151" s="22"/>
      <c r="C151" s="22"/>
      <c r="D151" s="22"/>
      <c r="E151" s="22"/>
      <c r="F151" s="22"/>
      <c r="G151" s="22"/>
      <c r="H151" s="22"/>
      <c r="I151" s="22"/>
      <c r="J151" s="22"/>
      <c r="K151" s="9"/>
      <c r="L151" s="9"/>
      <c r="M151" s="9"/>
      <c r="N151" s="9"/>
      <c r="O151" s="9"/>
      <c r="P151" s="9"/>
    </row>
    <row r="152">
      <c r="A152" s="21"/>
      <c r="B152" s="22"/>
      <c r="C152" s="22"/>
      <c r="D152" s="22"/>
      <c r="E152" s="22"/>
      <c r="F152" s="22"/>
      <c r="G152" s="22"/>
      <c r="H152" s="22"/>
      <c r="I152" s="22"/>
      <c r="J152" s="22"/>
      <c r="K152" s="9"/>
      <c r="L152" s="9"/>
      <c r="M152" s="9"/>
      <c r="N152" s="9"/>
      <c r="O152" s="9"/>
      <c r="P152" s="9"/>
    </row>
    <row r="153">
      <c r="A153" s="21"/>
      <c r="B153" s="22"/>
      <c r="C153" s="22"/>
      <c r="D153" s="22"/>
      <c r="E153" s="22"/>
      <c r="F153" s="22"/>
      <c r="G153" s="22"/>
      <c r="H153" s="22"/>
      <c r="I153" s="22"/>
      <c r="J153" s="22"/>
      <c r="K153" s="9"/>
      <c r="L153" s="9"/>
      <c r="M153" s="9"/>
      <c r="N153" s="9"/>
      <c r="O153" s="9"/>
      <c r="P153" s="9"/>
    </row>
    <row r="154">
      <c r="A154" s="21"/>
      <c r="B154" s="22"/>
      <c r="C154" s="22"/>
      <c r="D154" s="22"/>
      <c r="E154" s="22"/>
      <c r="F154" s="22"/>
      <c r="G154" s="22"/>
      <c r="H154" s="22"/>
      <c r="I154" s="22"/>
      <c r="J154" s="22"/>
      <c r="K154" s="9"/>
      <c r="L154" s="9"/>
      <c r="M154" s="9"/>
      <c r="N154" s="9"/>
      <c r="O154" s="9"/>
      <c r="P154" s="9"/>
    </row>
    <row r="155">
      <c r="A155" s="21"/>
      <c r="B155" s="22"/>
      <c r="C155" s="22"/>
      <c r="D155" s="22"/>
      <c r="E155" s="22"/>
      <c r="F155" s="22"/>
      <c r="G155" s="22"/>
      <c r="H155" s="22"/>
      <c r="I155" s="22"/>
      <c r="J155" s="22"/>
      <c r="K155" s="9"/>
      <c r="L155" s="9"/>
      <c r="M155" s="9"/>
      <c r="N155" s="9"/>
      <c r="O155" s="9"/>
      <c r="P155" s="9"/>
    </row>
    <row r="156">
      <c r="A156" s="21"/>
      <c r="B156" s="22"/>
      <c r="C156" s="22"/>
      <c r="D156" s="22"/>
      <c r="E156" s="22"/>
      <c r="F156" s="22"/>
      <c r="G156" s="22"/>
      <c r="H156" s="22"/>
      <c r="I156" s="22"/>
      <c r="J156" s="22"/>
      <c r="K156" s="9"/>
      <c r="L156" s="9"/>
      <c r="M156" s="9"/>
      <c r="N156" s="9"/>
      <c r="O156" s="9"/>
      <c r="P156" s="9"/>
    </row>
    <row r="157">
      <c r="A157" s="21"/>
      <c r="B157" s="22"/>
      <c r="C157" s="22"/>
      <c r="D157" s="22"/>
      <c r="E157" s="22"/>
      <c r="F157" s="22"/>
      <c r="G157" s="22"/>
      <c r="H157" s="22"/>
      <c r="I157" s="22"/>
      <c r="J157" s="22"/>
      <c r="K157" s="9"/>
      <c r="L157" s="9"/>
      <c r="M157" s="9"/>
      <c r="N157" s="9"/>
      <c r="O157" s="9"/>
      <c r="P157" s="9"/>
    </row>
    <row r="158">
      <c r="A158" s="21"/>
      <c r="B158" s="22"/>
      <c r="C158" s="22"/>
      <c r="D158" s="22"/>
      <c r="E158" s="22"/>
      <c r="F158" s="22"/>
      <c r="G158" s="22"/>
      <c r="H158" s="22"/>
      <c r="I158" s="22"/>
      <c r="J158" s="22"/>
      <c r="K158" s="9"/>
      <c r="L158" s="9"/>
      <c r="M158" s="9"/>
      <c r="N158" s="9"/>
      <c r="O158" s="9"/>
      <c r="P158" s="9"/>
    </row>
    <row r="159">
      <c r="A159" s="21"/>
      <c r="B159" s="22"/>
      <c r="C159" s="22"/>
      <c r="D159" s="22"/>
      <c r="E159" s="22"/>
      <c r="F159" s="22"/>
      <c r="G159" s="22"/>
      <c r="H159" s="22"/>
      <c r="I159" s="22"/>
      <c r="J159" s="22"/>
      <c r="K159" s="9"/>
      <c r="L159" s="9"/>
      <c r="M159" s="9"/>
      <c r="N159" s="9"/>
      <c r="O159" s="9"/>
      <c r="P159" s="9"/>
    </row>
    <row r="160">
      <c r="A160" s="21"/>
      <c r="B160" s="22"/>
      <c r="C160" s="22"/>
      <c r="D160" s="22"/>
      <c r="E160" s="22"/>
      <c r="F160" s="22"/>
      <c r="G160" s="22"/>
      <c r="H160" s="22"/>
      <c r="I160" s="22"/>
      <c r="J160" s="22"/>
      <c r="K160" s="9"/>
      <c r="L160" s="9"/>
      <c r="M160" s="9"/>
      <c r="N160" s="9"/>
      <c r="O160" s="9"/>
      <c r="P160" s="9"/>
    </row>
    <row r="161">
      <c r="A161" s="21"/>
      <c r="B161" s="22"/>
      <c r="C161" s="22"/>
      <c r="D161" s="22"/>
      <c r="E161" s="22"/>
      <c r="F161" s="22"/>
      <c r="G161" s="22"/>
      <c r="H161" s="22"/>
      <c r="I161" s="22"/>
      <c r="J161" s="22"/>
      <c r="K161" s="9"/>
      <c r="L161" s="9"/>
      <c r="M161" s="9"/>
      <c r="N161" s="9"/>
      <c r="O161" s="9"/>
      <c r="P161" s="9"/>
    </row>
    <row r="162">
      <c r="A162" s="21"/>
      <c r="B162" s="22"/>
      <c r="C162" s="22"/>
      <c r="D162" s="22"/>
      <c r="E162" s="22"/>
      <c r="F162" s="22"/>
      <c r="G162" s="22"/>
      <c r="H162" s="22"/>
      <c r="I162" s="22"/>
      <c r="J162" s="22"/>
      <c r="K162" s="9"/>
      <c r="L162" s="9"/>
      <c r="M162" s="9"/>
      <c r="N162" s="9"/>
      <c r="O162" s="9"/>
      <c r="P162" s="9"/>
    </row>
    <row r="163">
      <c r="A163" s="21"/>
      <c r="B163" s="22"/>
      <c r="C163" s="22"/>
      <c r="D163" s="22"/>
      <c r="E163" s="22"/>
      <c r="F163" s="22"/>
      <c r="G163" s="22"/>
      <c r="H163" s="22"/>
      <c r="I163" s="22"/>
      <c r="J163" s="22"/>
      <c r="K163" s="9"/>
      <c r="L163" s="9"/>
      <c r="M163" s="9"/>
      <c r="N163" s="9"/>
      <c r="O163" s="9"/>
      <c r="P163" s="9"/>
    </row>
    <row r="164">
      <c r="A164" s="21"/>
      <c r="B164" s="22"/>
      <c r="C164" s="22"/>
      <c r="D164" s="22"/>
      <c r="E164" s="22"/>
      <c r="F164" s="22"/>
      <c r="G164" s="22"/>
      <c r="H164" s="22"/>
      <c r="I164" s="22"/>
      <c r="J164" s="22"/>
      <c r="K164" s="9"/>
      <c r="L164" s="9"/>
      <c r="M164" s="9"/>
      <c r="N164" s="9"/>
      <c r="O164" s="9"/>
      <c r="P164" s="9"/>
    </row>
    <row r="165">
      <c r="A165" s="21"/>
      <c r="B165" s="22"/>
      <c r="C165" s="22"/>
      <c r="D165" s="22"/>
      <c r="E165" s="22"/>
      <c r="F165" s="22"/>
      <c r="G165" s="22"/>
      <c r="H165" s="22"/>
      <c r="I165" s="22"/>
      <c r="J165" s="22"/>
      <c r="K165" s="9"/>
      <c r="L165" s="9"/>
      <c r="M165" s="9"/>
      <c r="N165" s="9"/>
      <c r="O165" s="9"/>
      <c r="P165" s="9"/>
    </row>
    <row r="166">
      <c r="A166" s="21"/>
      <c r="B166" s="22"/>
      <c r="C166" s="22"/>
      <c r="D166" s="22"/>
      <c r="E166" s="22"/>
      <c r="F166" s="22"/>
      <c r="G166" s="22"/>
      <c r="H166" s="22"/>
      <c r="I166" s="22"/>
      <c r="J166" s="22"/>
      <c r="K166" s="9"/>
      <c r="L166" s="9"/>
      <c r="M166" s="9"/>
      <c r="N166" s="9"/>
      <c r="O166" s="9"/>
      <c r="P166" s="9"/>
    </row>
    <row r="167">
      <c r="A167" s="21"/>
      <c r="B167" s="22"/>
      <c r="C167" s="22"/>
      <c r="D167" s="22"/>
      <c r="E167" s="22"/>
      <c r="F167" s="22"/>
      <c r="G167" s="22"/>
      <c r="H167" s="22"/>
      <c r="I167" s="22"/>
      <c r="J167" s="22"/>
      <c r="K167" s="9"/>
      <c r="L167" s="9"/>
      <c r="M167" s="9"/>
      <c r="N167" s="9"/>
      <c r="O167" s="9"/>
      <c r="P167" s="9"/>
    </row>
    <row r="168">
      <c r="A168" s="21"/>
      <c r="B168" s="22"/>
      <c r="C168" s="22"/>
      <c r="D168" s="22"/>
      <c r="E168" s="22"/>
      <c r="F168" s="22"/>
      <c r="G168" s="22"/>
      <c r="H168" s="22"/>
      <c r="I168" s="22"/>
      <c r="J168" s="22"/>
      <c r="K168" s="9"/>
      <c r="L168" s="9"/>
      <c r="M168" s="9"/>
      <c r="N168" s="9"/>
      <c r="O168" s="9"/>
      <c r="P168" s="9"/>
    </row>
    <row r="169">
      <c r="A169" s="21"/>
      <c r="B169" s="22"/>
      <c r="C169" s="22"/>
      <c r="D169" s="22"/>
      <c r="E169" s="22"/>
      <c r="F169" s="22"/>
      <c r="G169" s="22"/>
      <c r="H169" s="22"/>
      <c r="I169" s="22"/>
      <c r="J169" s="22"/>
      <c r="K169" s="9"/>
      <c r="L169" s="9"/>
      <c r="M169" s="9"/>
      <c r="N169" s="9"/>
      <c r="O169" s="9"/>
      <c r="P169" s="9"/>
    </row>
    <row r="170">
      <c r="A170" s="21"/>
      <c r="B170" s="22"/>
      <c r="C170" s="22"/>
      <c r="D170" s="22"/>
      <c r="E170" s="22"/>
      <c r="F170" s="22"/>
      <c r="G170" s="22"/>
      <c r="H170" s="22"/>
      <c r="I170" s="22"/>
      <c r="J170" s="22"/>
      <c r="K170" s="9"/>
      <c r="L170" s="9"/>
      <c r="M170" s="9"/>
      <c r="N170" s="9"/>
      <c r="O170" s="9"/>
      <c r="P170" s="9"/>
    </row>
    <row r="171">
      <c r="A171" s="21"/>
      <c r="B171" s="22"/>
      <c r="C171" s="22"/>
      <c r="D171" s="22"/>
      <c r="E171" s="22"/>
      <c r="F171" s="22"/>
      <c r="G171" s="22"/>
      <c r="H171" s="22"/>
      <c r="I171" s="22"/>
      <c r="J171" s="22"/>
      <c r="K171" s="9"/>
      <c r="L171" s="9"/>
      <c r="M171" s="9"/>
      <c r="N171" s="9"/>
      <c r="O171" s="9"/>
      <c r="P171" s="9"/>
    </row>
    <row r="172">
      <c r="A172" s="21"/>
      <c r="B172" s="22"/>
      <c r="C172" s="22"/>
      <c r="D172" s="22"/>
      <c r="E172" s="22"/>
      <c r="F172" s="22"/>
      <c r="G172" s="22"/>
      <c r="H172" s="22"/>
      <c r="I172" s="22"/>
      <c r="J172" s="22"/>
      <c r="K172" s="9"/>
      <c r="L172" s="9"/>
      <c r="M172" s="9"/>
      <c r="N172" s="9"/>
      <c r="O172" s="9"/>
      <c r="P172" s="9"/>
    </row>
    <row r="173">
      <c r="A173" s="21"/>
      <c r="B173" s="22"/>
      <c r="C173" s="22"/>
      <c r="D173" s="22"/>
      <c r="E173" s="22"/>
      <c r="F173" s="22"/>
      <c r="G173" s="22"/>
      <c r="H173" s="22"/>
      <c r="I173" s="22"/>
      <c r="J173" s="22"/>
      <c r="K173" s="9"/>
      <c r="L173" s="9"/>
      <c r="M173" s="9"/>
      <c r="N173" s="9"/>
      <c r="O173" s="9"/>
      <c r="P173" s="9"/>
    </row>
    <row r="174">
      <c r="A174" s="21"/>
      <c r="B174" s="22"/>
      <c r="C174" s="22"/>
      <c r="D174" s="22"/>
      <c r="E174" s="22"/>
      <c r="F174" s="22"/>
      <c r="G174" s="22"/>
      <c r="H174" s="22"/>
      <c r="I174" s="22"/>
      <c r="J174" s="22"/>
      <c r="K174" s="9"/>
      <c r="L174" s="9"/>
      <c r="M174" s="9"/>
      <c r="N174" s="9"/>
      <c r="O174" s="9"/>
      <c r="P174" s="9"/>
    </row>
    <row r="175">
      <c r="A175" s="23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</row>
    <row r="176">
      <c r="A176" s="2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</row>
    <row r="177">
      <c r="A177" s="2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</row>
    <row r="178">
      <c r="A178" s="2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</row>
    <row r="179">
      <c r="A179" s="2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</row>
    <row r="180">
      <c r="A180" s="23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</row>
    <row r="181">
      <c r="A181" s="23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</row>
    <row r="182">
      <c r="A182" s="2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</row>
    <row r="183">
      <c r="A183" s="2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</row>
    <row r="184">
      <c r="A184" s="23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</row>
    <row r="185">
      <c r="A185" s="23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</row>
    <row r="186">
      <c r="A186" s="2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</row>
    <row r="187">
      <c r="A187" s="2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</row>
    <row r="188">
      <c r="A188" s="2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</row>
    <row r="189">
      <c r="A189" s="2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</row>
    <row r="190">
      <c r="A190" s="2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</row>
    <row r="191">
      <c r="A191" s="2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</row>
    <row r="192">
      <c r="A192" s="23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</row>
    <row r="193">
      <c r="A193" s="23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</row>
    <row r="194">
      <c r="A194" s="23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</row>
    <row r="195">
      <c r="A195" s="23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</row>
    <row r="196">
      <c r="A196" s="23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</row>
    <row r="197">
      <c r="A197" s="2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</row>
    <row r="198">
      <c r="A198" s="2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</row>
    <row r="199">
      <c r="A199" s="2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</row>
    <row r="200">
      <c r="A200" s="2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</row>
    <row r="201">
      <c r="A201" s="23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</row>
    <row r="202">
      <c r="A202" s="23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</row>
    <row r="203">
      <c r="A203" s="23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</row>
    <row r="204">
      <c r="A204" s="23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</row>
    <row r="205">
      <c r="A205" s="23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</row>
    <row r="206">
      <c r="A206" s="23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</row>
    <row r="207">
      <c r="A207" s="23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</row>
    <row r="208">
      <c r="A208" s="2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</row>
    <row r="209">
      <c r="A209" s="2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</row>
    <row r="210">
      <c r="A210" s="23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</row>
    <row r="211">
      <c r="A211" s="23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</row>
    <row r="212">
      <c r="A212" s="23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</row>
    <row r="213">
      <c r="A213" s="23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</row>
    <row r="214">
      <c r="A214" s="23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</row>
    <row r="215">
      <c r="A215" s="23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</row>
    <row r="216">
      <c r="A216" s="2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</row>
    <row r="217">
      <c r="A217" s="2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</row>
    <row r="218">
      <c r="A218" s="2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</row>
    <row r="219">
      <c r="A219" s="23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</row>
    <row r="220">
      <c r="A220" s="23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</row>
    <row r="221">
      <c r="A221" s="23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</row>
    <row r="222">
      <c r="A222" s="23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</row>
    <row r="223">
      <c r="A223" s="23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</row>
    <row r="224">
      <c r="A224" s="23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</row>
    <row r="225">
      <c r="A225" s="23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</row>
    <row r="226">
      <c r="A226" s="23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</row>
    <row r="227">
      <c r="A227" s="2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</row>
    <row r="228">
      <c r="A228" s="2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</row>
    <row r="229">
      <c r="A229" s="2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</row>
    <row r="230">
      <c r="A230" s="2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</row>
    <row r="231">
      <c r="A231" s="23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</row>
    <row r="232">
      <c r="A232" s="23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</row>
    <row r="233">
      <c r="A233" s="23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</row>
    <row r="234">
      <c r="A234" s="23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</row>
    <row r="235">
      <c r="A235" s="23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</row>
    <row r="236">
      <c r="A236" s="23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</row>
    <row r="237">
      <c r="A237" s="23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</row>
    <row r="238">
      <c r="A238" s="23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</row>
    <row r="239">
      <c r="A239" s="23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</row>
    <row r="240">
      <c r="A240" s="23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</row>
    <row r="241">
      <c r="A241" s="23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</row>
    <row r="242">
      <c r="A242" s="23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</row>
    <row r="243">
      <c r="A243" s="23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</row>
  </sheetData>
  <dataValidations>
    <dataValidation type="custom" allowBlank="1" showDropDown="1" sqref="A2:A143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0"/>
    <col customWidth="1" min="2" max="2" width="9.75"/>
    <col customWidth="1" min="3" max="3" width="26.88"/>
    <col customWidth="1" min="4" max="4" width="15.25"/>
    <col customWidth="1" min="5" max="5" width="12.63"/>
    <col customWidth="1" min="6" max="6" width="15.38"/>
    <col customWidth="1" min="7" max="7" width="19.75"/>
    <col customWidth="1" min="8" max="8" width="14.63"/>
    <col customWidth="1" min="9" max="9" width="44.0"/>
    <col customWidth="1" min="10" max="16" width="18.88"/>
  </cols>
  <sheetData>
    <row r="1" ht="22.5" customHeight="1">
      <c r="A1" s="2" t="s">
        <v>0</v>
      </c>
      <c r="B1" s="2" t="s">
        <v>104</v>
      </c>
      <c r="C1" s="2" t="s">
        <v>105</v>
      </c>
      <c r="D1" s="2" t="s">
        <v>106</v>
      </c>
      <c r="E1" s="2" t="s">
        <v>107</v>
      </c>
      <c r="F1" s="2" t="s">
        <v>7</v>
      </c>
      <c r="G1" s="2" t="s">
        <v>6</v>
      </c>
      <c r="H1" s="2" t="s">
        <v>5</v>
      </c>
      <c r="I1" s="24" t="s">
        <v>108</v>
      </c>
      <c r="J1" s="24" t="s">
        <v>109</v>
      </c>
      <c r="K1" s="25"/>
      <c r="L1" s="25"/>
      <c r="M1" s="25"/>
      <c r="N1" s="25"/>
      <c r="O1" s="25"/>
      <c r="P1" s="25"/>
    </row>
    <row r="2" ht="22.5" customHeight="1">
      <c r="A2" s="10">
        <v>46175.38430640046</v>
      </c>
      <c r="B2" s="26">
        <v>0.0</v>
      </c>
      <c r="C2" s="27" t="s">
        <v>110</v>
      </c>
      <c r="D2" s="5">
        <v>46175.0</v>
      </c>
      <c r="E2" s="27" t="s">
        <v>19</v>
      </c>
      <c r="F2" s="27" t="s">
        <v>93</v>
      </c>
      <c r="G2" s="27" t="s">
        <v>111</v>
      </c>
      <c r="H2" s="27" t="s">
        <v>112</v>
      </c>
      <c r="I2" s="28" t="s">
        <v>113</v>
      </c>
      <c r="J2" s="29"/>
    </row>
    <row r="3" ht="22.5" customHeight="1">
      <c r="A3" s="10">
        <v>46175.38430640046</v>
      </c>
      <c r="B3" s="30">
        <v>0.0</v>
      </c>
      <c r="C3" s="15" t="s">
        <v>114</v>
      </c>
      <c r="D3" s="10">
        <v>46175.0</v>
      </c>
      <c r="E3" s="15" t="s">
        <v>115</v>
      </c>
      <c r="F3" s="15" t="s">
        <v>93</v>
      </c>
      <c r="G3" s="15" t="s">
        <v>111</v>
      </c>
      <c r="H3" s="27" t="s">
        <v>112</v>
      </c>
      <c r="I3" s="28" t="s">
        <v>113</v>
      </c>
      <c r="J3" s="29"/>
    </row>
    <row r="4" ht="22.5" customHeight="1">
      <c r="A4" s="10">
        <v>46175.38499024305</v>
      </c>
      <c r="B4" s="30">
        <v>0.0</v>
      </c>
      <c r="C4" s="15" t="s">
        <v>116</v>
      </c>
      <c r="D4" s="10">
        <v>46175.0</v>
      </c>
      <c r="E4" s="15" t="s">
        <v>117</v>
      </c>
      <c r="F4" s="15" t="s">
        <v>93</v>
      </c>
      <c r="G4" s="15" t="s">
        <v>111</v>
      </c>
      <c r="H4" s="27" t="s">
        <v>112</v>
      </c>
      <c r="I4" s="28" t="s">
        <v>113</v>
      </c>
      <c r="J4" s="29"/>
    </row>
    <row r="5" ht="22.5" customHeight="1">
      <c r="A5" s="10">
        <v>46175.385599988425</v>
      </c>
      <c r="B5" s="30">
        <v>0.0</v>
      </c>
      <c r="C5" s="15" t="s">
        <v>118</v>
      </c>
      <c r="D5" s="10">
        <v>46175.0</v>
      </c>
      <c r="E5" s="15" t="s">
        <v>11</v>
      </c>
      <c r="F5" s="15" t="s">
        <v>93</v>
      </c>
      <c r="G5" s="15" t="s">
        <v>111</v>
      </c>
      <c r="H5" s="27" t="s">
        <v>112</v>
      </c>
      <c r="I5" s="28" t="s">
        <v>113</v>
      </c>
      <c r="J5" s="29"/>
    </row>
    <row r="6" ht="22.5" customHeight="1">
      <c r="A6" s="10">
        <v>46175.386186805554</v>
      </c>
      <c r="B6" s="30">
        <v>0.0</v>
      </c>
      <c r="C6" s="15" t="s">
        <v>119</v>
      </c>
      <c r="D6" s="10">
        <v>46175.0</v>
      </c>
      <c r="E6" s="15" t="s">
        <v>33</v>
      </c>
      <c r="F6" s="15" t="s">
        <v>35</v>
      </c>
      <c r="G6" s="15" t="s">
        <v>111</v>
      </c>
      <c r="H6" s="27" t="s">
        <v>112</v>
      </c>
      <c r="I6" s="28" t="s">
        <v>113</v>
      </c>
      <c r="J6" s="29"/>
    </row>
    <row r="7" ht="22.5" customHeight="1">
      <c r="A7" s="10">
        <v>46175.386973113425</v>
      </c>
      <c r="B7" s="30">
        <v>0.0</v>
      </c>
      <c r="C7" s="15" t="s">
        <v>120</v>
      </c>
      <c r="D7" s="10">
        <v>46175.0</v>
      </c>
      <c r="E7" s="15" t="s">
        <v>11</v>
      </c>
      <c r="F7" s="15" t="s">
        <v>35</v>
      </c>
      <c r="G7" s="15" t="s">
        <v>111</v>
      </c>
      <c r="H7" s="27" t="s">
        <v>112</v>
      </c>
      <c r="I7" s="28" t="s">
        <v>113</v>
      </c>
      <c r="J7" s="29"/>
    </row>
    <row r="8" ht="22.5" customHeight="1">
      <c r="A8" s="10">
        <v>46175.0</v>
      </c>
      <c r="B8" s="30">
        <v>0.0</v>
      </c>
      <c r="C8" s="15" t="s">
        <v>121</v>
      </c>
      <c r="D8" s="10">
        <v>46175.0</v>
      </c>
      <c r="E8" s="15" t="s">
        <v>122</v>
      </c>
      <c r="F8" s="15" t="s">
        <v>60</v>
      </c>
      <c r="G8" s="15" t="s">
        <v>111</v>
      </c>
      <c r="H8" s="27" t="s">
        <v>112</v>
      </c>
      <c r="I8" s="28" t="s">
        <v>113</v>
      </c>
      <c r="J8" s="29"/>
    </row>
    <row r="9" ht="22.5" customHeight="1">
      <c r="A9" s="10">
        <v>46175.388795300925</v>
      </c>
      <c r="B9" s="30">
        <v>0.0</v>
      </c>
      <c r="C9" s="15" t="s">
        <v>110</v>
      </c>
      <c r="D9" s="10">
        <v>46175.0</v>
      </c>
      <c r="E9" s="15" t="s">
        <v>33</v>
      </c>
      <c r="F9" s="15" t="s">
        <v>14</v>
      </c>
      <c r="G9" s="15" t="s">
        <v>123</v>
      </c>
      <c r="H9" s="27" t="s">
        <v>112</v>
      </c>
      <c r="I9" s="28" t="s">
        <v>113</v>
      </c>
      <c r="J9" s="29"/>
    </row>
    <row r="10" ht="22.5" customHeight="1">
      <c r="A10" s="10">
        <v>46175.38976097222</v>
      </c>
      <c r="B10" s="30">
        <v>0.0</v>
      </c>
      <c r="C10" s="15" t="s">
        <v>119</v>
      </c>
      <c r="D10" s="10">
        <v>46175.0</v>
      </c>
      <c r="E10" s="15" t="s">
        <v>33</v>
      </c>
      <c r="F10" s="15" t="s">
        <v>14</v>
      </c>
      <c r="G10" s="15" t="s">
        <v>123</v>
      </c>
      <c r="H10" s="27" t="s">
        <v>112</v>
      </c>
      <c r="I10" s="28" t="s">
        <v>113</v>
      </c>
      <c r="J10" s="29"/>
    </row>
    <row r="11" ht="22.5" customHeight="1">
      <c r="A11" s="10">
        <v>46175.39196260417</v>
      </c>
      <c r="B11" s="30">
        <v>0.0</v>
      </c>
      <c r="C11" s="15" t="s">
        <v>124</v>
      </c>
      <c r="D11" s="10">
        <v>46175.0</v>
      </c>
      <c r="E11" s="15" t="s">
        <v>11</v>
      </c>
      <c r="F11" s="15" t="s">
        <v>14</v>
      </c>
      <c r="G11" s="15" t="s">
        <v>123</v>
      </c>
      <c r="H11" s="27" t="s">
        <v>112</v>
      </c>
      <c r="I11" s="28" t="s">
        <v>113</v>
      </c>
      <c r="J11" s="29"/>
    </row>
    <row r="12" ht="22.5" customHeight="1">
      <c r="A12" s="10">
        <v>46175.392888692135</v>
      </c>
      <c r="B12" s="30">
        <v>0.0</v>
      </c>
      <c r="C12" s="15" t="s">
        <v>124</v>
      </c>
      <c r="D12" s="10">
        <v>46175.0</v>
      </c>
      <c r="E12" s="15" t="s">
        <v>27</v>
      </c>
      <c r="F12" s="15" t="s">
        <v>35</v>
      </c>
      <c r="G12" s="15" t="s">
        <v>111</v>
      </c>
      <c r="H12" s="27" t="s">
        <v>112</v>
      </c>
      <c r="I12" s="28" t="s">
        <v>113</v>
      </c>
      <c r="J12" s="29"/>
    </row>
    <row r="13" ht="22.5" customHeight="1">
      <c r="A13" s="10">
        <v>46175.501640497685</v>
      </c>
      <c r="B13" s="30">
        <v>0.0</v>
      </c>
      <c r="C13" s="15" t="s">
        <v>125</v>
      </c>
      <c r="D13" s="10">
        <v>46175.0</v>
      </c>
      <c r="E13" s="15" t="s">
        <v>72</v>
      </c>
      <c r="F13" s="15" t="s">
        <v>126</v>
      </c>
      <c r="G13" s="15" t="s">
        <v>127</v>
      </c>
      <c r="H13" s="15" t="s">
        <v>128</v>
      </c>
      <c r="I13" s="15" t="s">
        <v>129</v>
      </c>
      <c r="J13" s="31"/>
    </row>
    <row r="14" ht="22.5" customHeight="1">
      <c r="A14" s="10">
        <v>46175.642542905094</v>
      </c>
      <c r="B14" s="30">
        <v>0.0</v>
      </c>
      <c r="C14" s="15" t="s">
        <v>130</v>
      </c>
      <c r="D14" s="10">
        <v>46175.0</v>
      </c>
      <c r="E14" s="15" t="s">
        <v>131</v>
      </c>
      <c r="F14" s="15" t="s">
        <v>58</v>
      </c>
      <c r="G14" s="15" t="s">
        <v>111</v>
      </c>
      <c r="H14" s="15" t="s">
        <v>12</v>
      </c>
      <c r="I14" s="17"/>
      <c r="J14" s="17"/>
    </row>
    <row r="15" ht="22.5" customHeight="1">
      <c r="A15" s="10">
        <v>46175.64348150463</v>
      </c>
      <c r="B15" s="30">
        <v>0.0</v>
      </c>
      <c r="C15" s="15" t="s">
        <v>132</v>
      </c>
      <c r="D15" s="10">
        <v>46175.0</v>
      </c>
      <c r="E15" s="15" t="s">
        <v>19</v>
      </c>
      <c r="F15" s="15" t="s">
        <v>58</v>
      </c>
      <c r="G15" s="15" t="s">
        <v>111</v>
      </c>
      <c r="H15" s="15" t="s">
        <v>12</v>
      </c>
      <c r="I15" s="17"/>
      <c r="J15" s="17"/>
    </row>
    <row r="16" ht="22.5" customHeight="1">
      <c r="A16" s="10">
        <v>46175.64610920139</v>
      </c>
      <c r="B16" s="30">
        <v>0.0</v>
      </c>
      <c r="C16" s="15" t="s">
        <v>133</v>
      </c>
      <c r="D16" s="10">
        <v>46175.0</v>
      </c>
      <c r="E16" s="15" t="s">
        <v>134</v>
      </c>
      <c r="F16" s="15" t="s">
        <v>135</v>
      </c>
      <c r="G16" s="15" t="s">
        <v>136</v>
      </c>
      <c r="H16" s="15" t="s">
        <v>12</v>
      </c>
      <c r="I16" s="17"/>
      <c r="J16" s="17"/>
    </row>
    <row r="17" ht="22.5" customHeight="1">
      <c r="A17" s="10">
        <v>46175.660436307866</v>
      </c>
      <c r="B17" s="30">
        <v>0.0</v>
      </c>
      <c r="C17" s="15" t="s">
        <v>133</v>
      </c>
      <c r="D17" s="10">
        <v>46175.0</v>
      </c>
      <c r="E17" s="15" t="s">
        <v>137</v>
      </c>
      <c r="F17" s="15" t="s">
        <v>135</v>
      </c>
      <c r="G17" s="15" t="s">
        <v>136</v>
      </c>
      <c r="H17" s="15" t="s">
        <v>12</v>
      </c>
      <c r="I17" s="17"/>
      <c r="J17" s="17"/>
    </row>
    <row r="18" ht="22.5" customHeight="1">
      <c r="A18" s="10">
        <v>46176.39891497685</v>
      </c>
      <c r="B18" s="30">
        <v>0.0</v>
      </c>
      <c r="C18" s="15" t="s">
        <v>138</v>
      </c>
      <c r="D18" s="10">
        <v>46176.0</v>
      </c>
      <c r="E18" s="15" t="s">
        <v>74</v>
      </c>
      <c r="F18" s="15" t="s">
        <v>20</v>
      </c>
      <c r="G18" s="15" t="s">
        <v>123</v>
      </c>
      <c r="H18" s="15" t="s">
        <v>12</v>
      </c>
      <c r="I18" s="17"/>
      <c r="J18" s="17"/>
    </row>
    <row r="19" ht="22.5" customHeight="1">
      <c r="A19" s="10">
        <v>46176.39952464121</v>
      </c>
      <c r="B19" s="30">
        <v>0.0</v>
      </c>
      <c r="C19" s="15" t="s">
        <v>139</v>
      </c>
      <c r="D19" s="10">
        <v>46176.0</v>
      </c>
      <c r="E19" s="15" t="s">
        <v>11</v>
      </c>
      <c r="F19" s="15" t="s">
        <v>20</v>
      </c>
      <c r="G19" s="15" t="s">
        <v>123</v>
      </c>
      <c r="H19" s="15" t="s">
        <v>12</v>
      </c>
      <c r="I19" s="17"/>
      <c r="J19" s="17"/>
    </row>
    <row r="20" ht="22.5" customHeight="1">
      <c r="A20" s="10">
        <v>46176.40042049768</v>
      </c>
      <c r="B20" s="30">
        <v>0.0</v>
      </c>
      <c r="C20" s="15" t="s">
        <v>140</v>
      </c>
      <c r="D20" s="10">
        <v>46176.0</v>
      </c>
      <c r="E20" s="15" t="s">
        <v>141</v>
      </c>
      <c r="F20" s="15" t="s">
        <v>20</v>
      </c>
      <c r="G20" s="15" t="s">
        <v>123</v>
      </c>
      <c r="H20" s="15" t="s">
        <v>12</v>
      </c>
      <c r="I20" s="17"/>
      <c r="J20" s="17"/>
    </row>
    <row r="21" ht="22.5" customHeight="1">
      <c r="A21" s="10">
        <v>46176.40168530092</v>
      </c>
      <c r="B21" s="30">
        <v>0.0</v>
      </c>
      <c r="C21" s="15" t="s">
        <v>142</v>
      </c>
      <c r="D21" s="10">
        <v>46176.0</v>
      </c>
      <c r="E21" s="15" t="s">
        <v>19</v>
      </c>
      <c r="F21" s="15" t="s">
        <v>20</v>
      </c>
      <c r="G21" s="15" t="s">
        <v>123</v>
      </c>
      <c r="H21" s="15" t="s">
        <v>12</v>
      </c>
      <c r="I21" s="17"/>
      <c r="J21" s="17"/>
    </row>
    <row r="22" ht="22.5" customHeight="1">
      <c r="A22" s="10">
        <v>46176.41117111111</v>
      </c>
      <c r="B22" s="30">
        <v>0.0</v>
      </c>
      <c r="C22" s="15" t="s">
        <v>124</v>
      </c>
      <c r="D22" s="10">
        <v>46176.0</v>
      </c>
      <c r="E22" s="15" t="s">
        <v>11</v>
      </c>
      <c r="F22" s="15" t="s">
        <v>14</v>
      </c>
      <c r="G22" s="15" t="s">
        <v>123</v>
      </c>
      <c r="H22" s="15" t="s">
        <v>17</v>
      </c>
      <c r="I22" s="17"/>
      <c r="J22" s="15" t="s">
        <v>143</v>
      </c>
    </row>
    <row r="23" ht="22.5" customHeight="1">
      <c r="A23" s="10">
        <v>46176.41161116898</v>
      </c>
      <c r="B23" s="30">
        <v>0.0</v>
      </c>
      <c r="C23" s="15" t="s">
        <v>119</v>
      </c>
      <c r="D23" s="10">
        <v>46176.0</v>
      </c>
      <c r="E23" s="15" t="s">
        <v>11</v>
      </c>
      <c r="F23" s="15" t="s">
        <v>14</v>
      </c>
      <c r="G23" s="15" t="s">
        <v>123</v>
      </c>
      <c r="H23" s="15" t="s">
        <v>17</v>
      </c>
      <c r="I23" s="17"/>
      <c r="J23" s="15" t="s">
        <v>143</v>
      </c>
    </row>
    <row r="24" ht="22.5" customHeight="1">
      <c r="A24" s="10">
        <v>46176.412197094905</v>
      </c>
      <c r="B24" s="30">
        <v>0.0</v>
      </c>
      <c r="C24" s="15" t="s">
        <v>144</v>
      </c>
      <c r="D24" s="10">
        <v>46176.0</v>
      </c>
      <c r="E24" s="15" t="s">
        <v>16</v>
      </c>
      <c r="F24" s="15" t="s">
        <v>14</v>
      </c>
      <c r="G24" s="15" t="s">
        <v>123</v>
      </c>
      <c r="H24" s="15" t="s">
        <v>17</v>
      </c>
      <c r="I24" s="17"/>
      <c r="J24" s="15" t="s">
        <v>143</v>
      </c>
    </row>
    <row r="25" ht="22.5" customHeight="1">
      <c r="A25" s="10">
        <v>46176.413529259255</v>
      </c>
      <c r="B25" s="30">
        <v>0.0</v>
      </c>
      <c r="C25" s="15" t="s">
        <v>145</v>
      </c>
      <c r="D25" s="10">
        <v>46176.0</v>
      </c>
      <c r="E25" s="15" t="s">
        <v>146</v>
      </c>
      <c r="F25" s="15" t="s">
        <v>14</v>
      </c>
      <c r="G25" s="15" t="s">
        <v>123</v>
      </c>
      <c r="H25" s="15" t="s">
        <v>17</v>
      </c>
      <c r="I25" s="17"/>
      <c r="J25" s="15" t="s">
        <v>143</v>
      </c>
    </row>
    <row r="26" ht="22.5" customHeight="1">
      <c r="A26" s="10">
        <v>46176.41419866898</v>
      </c>
      <c r="B26" s="30">
        <v>0.0</v>
      </c>
      <c r="C26" s="15" t="s">
        <v>142</v>
      </c>
      <c r="D26" s="10">
        <v>46176.0</v>
      </c>
      <c r="E26" s="15" t="s">
        <v>29</v>
      </c>
      <c r="F26" s="15" t="s">
        <v>14</v>
      </c>
      <c r="G26" s="15" t="s">
        <v>123</v>
      </c>
      <c r="H26" s="15" t="s">
        <v>30</v>
      </c>
      <c r="I26" s="17"/>
      <c r="J26" s="15" t="s">
        <v>143</v>
      </c>
    </row>
    <row r="27" ht="22.5" customHeight="1">
      <c r="A27" s="10">
        <v>46176.41521924769</v>
      </c>
      <c r="B27" s="30">
        <v>0.0</v>
      </c>
      <c r="C27" s="15" t="s">
        <v>147</v>
      </c>
      <c r="D27" s="10">
        <v>46176.0</v>
      </c>
      <c r="E27" s="17"/>
      <c r="F27" s="15" t="s">
        <v>20</v>
      </c>
      <c r="G27" s="15" t="s">
        <v>123</v>
      </c>
      <c r="H27" s="15" t="s">
        <v>30</v>
      </c>
      <c r="I27" s="17"/>
      <c r="J27" s="15" t="s">
        <v>148</v>
      </c>
    </row>
    <row r="28" ht="22.5" customHeight="1">
      <c r="A28" s="10">
        <v>46176.41865620371</v>
      </c>
      <c r="B28" s="30">
        <v>0.0</v>
      </c>
      <c r="C28" s="15" t="s">
        <v>149</v>
      </c>
      <c r="D28" s="10">
        <v>46176.0</v>
      </c>
      <c r="E28" s="15">
        <v>200.0</v>
      </c>
      <c r="F28" s="15" t="s">
        <v>60</v>
      </c>
      <c r="G28" s="15" t="s">
        <v>111</v>
      </c>
      <c r="H28" s="15" t="s">
        <v>30</v>
      </c>
      <c r="I28" s="17"/>
      <c r="J28" s="17"/>
    </row>
    <row r="29" ht="22.5" customHeight="1">
      <c r="A29" s="10">
        <v>46176.41959038195</v>
      </c>
      <c r="B29" s="30">
        <v>0.0</v>
      </c>
      <c r="C29" s="15" t="s">
        <v>150</v>
      </c>
      <c r="D29" s="10">
        <v>46176.0</v>
      </c>
      <c r="E29" s="15" t="s">
        <v>83</v>
      </c>
      <c r="F29" s="15" t="s">
        <v>35</v>
      </c>
      <c r="G29" s="15" t="s">
        <v>111</v>
      </c>
      <c r="H29" s="15" t="s">
        <v>30</v>
      </c>
      <c r="I29" s="17"/>
      <c r="J29" s="17"/>
    </row>
    <row r="30" ht="22.5" customHeight="1">
      <c r="A30" s="10">
        <v>46177.67238130787</v>
      </c>
      <c r="B30" s="30">
        <v>0.0</v>
      </c>
      <c r="C30" s="15" t="s">
        <v>130</v>
      </c>
      <c r="D30" s="10">
        <v>46177.0</v>
      </c>
      <c r="E30" s="15" t="s">
        <v>64</v>
      </c>
      <c r="F30" s="15" t="s">
        <v>20</v>
      </c>
      <c r="G30" s="15" t="s">
        <v>123</v>
      </c>
      <c r="H30" s="15" t="s">
        <v>12</v>
      </c>
      <c r="I30" s="17"/>
      <c r="J30" s="15" t="s">
        <v>151</v>
      </c>
    </row>
    <row r="31" ht="22.5" customHeight="1">
      <c r="A31" s="10">
        <v>46177.673090474535</v>
      </c>
      <c r="B31" s="30">
        <v>0.0</v>
      </c>
      <c r="C31" s="15" t="s">
        <v>147</v>
      </c>
      <c r="D31" s="10">
        <v>46177.0</v>
      </c>
      <c r="E31" s="15" t="s">
        <v>48</v>
      </c>
      <c r="F31" s="15" t="s">
        <v>20</v>
      </c>
      <c r="G31" s="15" t="s">
        <v>123</v>
      </c>
      <c r="H31" s="15" t="s">
        <v>17</v>
      </c>
      <c r="I31" s="17"/>
      <c r="J31" s="15" t="s">
        <v>20</v>
      </c>
    </row>
    <row r="32" ht="22.5" customHeight="1">
      <c r="A32" s="10">
        <v>46177.6741749537</v>
      </c>
      <c r="B32" s="30">
        <v>0.0</v>
      </c>
      <c r="C32" s="15" t="s">
        <v>152</v>
      </c>
      <c r="D32" s="10">
        <v>46177.0</v>
      </c>
      <c r="E32" s="15" t="s">
        <v>153</v>
      </c>
      <c r="F32" s="15" t="s">
        <v>20</v>
      </c>
      <c r="G32" s="15" t="s">
        <v>123</v>
      </c>
      <c r="H32" s="15" t="s">
        <v>17</v>
      </c>
      <c r="I32" s="17"/>
      <c r="J32" s="15" t="s">
        <v>20</v>
      </c>
    </row>
    <row r="33" ht="22.5" customHeight="1">
      <c r="A33" s="10">
        <v>46177.67471716435</v>
      </c>
      <c r="B33" s="30">
        <v>0.0</v>
      </c>
      <c r="C33" s="15" t="s">
        <v>118</v>
      </c>
      <c r="D33" s="10">
        <v>46177.0</v>
      </c>
      <c r="E33" s="15" t="s">
        <v>11</v>
      </c>
      <c r="F33" s="15" t="s">
        <v>20</v>
      </c>
      <c r="G33" s="15" t="s">
        <v>123</v>
      </c>
      <c r="H33" s="15" t="s">
        <v>17</v>
      </c>
      <c r="I33" s="17"/>
      <c r="J33" s="15" t="s">
        <v>20</v>
      </c>
    </row>
    <row r="34" ht="22.5" customHeight="1">
      <c r="A34" s="10">
        <v>46177.675129027775</v>
      </c>
      <c r="B34" s="30">
        <v>0.0</v>
      </c>
      <c r="C34" s="15" t="s">
        <v>110</v>
      </c>
      <c r="D34" s="10">
        <v>46177.0</v>
      </c>
      <c r="E34" s="15" t="s">
        <v>33</v>
      </c>
      <c r="F34" s="15" t="s">
        <v>20</v>
      </c>
      <c r="G34" s="15" t="s">
        <v>123</v>
      </c>
      <c r="H34" s="15" t="s">
        <v>17</v>
      </c>
      <c r="I34" s="17"/>
      <c r="J34" s="15" t="s">
        <v>20</v>
      </c>
    </row>
    <row r="35" ht="22.5" customHeight="1">
      <c r="A35" s="10">
        <v>46177.676121550925</v>
      </c>
      <c r="B35" s="30">
        <v>0.0</v>
      </c>
      <c r="C35" s="15" t="s">
        <v>154</v>
      </c>
      <c r="D35" s="10">
        <v>46177.0</v>
      </c>
      <c r="E35" s="15" t="s">
        <v>72</v>
      </c>
      <c r="F35" s="15" t="s">
        <v>93</v>
      </c>
      <c r="G35" s="15" t="s">
        <v>111</v>
      </c>
      <c r="H35" s="15" t="s">
        <v>17</v>
      </c>
      <c r="I35" s="17"/>
      <c r="J35" s="15" t="s">
        <v>155</v>
      </c>
    </row>
    <row r="36" ht="22.5" customHeight="1">
      <c r="A36" s="10">
        <v>46177.676655312505</v>
      </c>
      <c r="B36" s="30">
        <v>0.0</v>
      </c>
      <c r="C36" s="15" t="s">
        <v>154</v>
      </c>
      <c r="D36" s="10">
        <v>46177.0</v>
      </c>
      <c r="E36" s="15" t="s">
        <v>156</v>
      </c>
      <c r="F36" s="15" t="s">
        <v>35</v>
      </c>
      <c r="G36" s="15" t="s">
        <v>111</v>
      </c>
      <c r="H36" s="15" t="s">
        <v>30</v>
      </c>
      <c r="I36" s="17"/>
      <c r="J36" s="15" t="s">
        <v>157</v>
      </c>
    </row>
    <row r="37" ht="22.5" customHeight="1">
      <c r="A37" s="10">
        <v>46177.67718702546</v>
      </c>
      <c r="B37" s="30">
        <v>0.0</v>
      </c>
      <c r="C37" s="15" t="s">
        <v>110</v>
      </c>
      <c r="D37" s="10">
        <v>46177.0</v>
      </c>
      <c r="E37" s="15" t="s">
        <v>19</v>
      </c>
      <c r="F37" s="15" t="s">
        <v>35</v>
      </c>
      <c r="G37" s="15" t="s">
        <v>111</v>
      </c>
      <c r="H37" s="15" t="s">
        <v>17</v>
      </c>
      <c r="I37" s="17"/>
      <c r="J37" s="15" t="s">
        <v>157</v>
      </c>
    </row>
    <row r="38" ht="22.5" customHeight="1">
      <c r="A38" s="10">
        <v>46177.677665219904</v>
      </c>
      <c r="B38" s="30">
        <v>0.0</v>
      </c>
      <c r="C38" s="15" t="s">
        <v>114</v>
      </c>
      <c r="D38" s="10">
        <v>46177.0</v>
      </c>
      <c r="E38" s="15">
        <v>1.0</v>
      </c>
      <c r="F38" s="17"/>
      <c r="G38" s="15" t="s">
        <v>111</v>
      </c>
      <c r="H38" s="15" t="s">
        <v>17</v>
      </c>
      <c r="I38" s="17"/>
      <c r="J38" s="15" t="s">
        <v>157</v>
      </c>
    </row>
    <row r="39" ht="22.5" customHeight="1">
      <c r="A39" s="10">
        <v>46177.678102777776</v>
      </c>
      <c r="B39" s="30">
        <v>0.0</v>
      </c>
      <c r="C39" s="15" t="s">
        <v>118</v>
      </c>
      <c r="D39" s="10">
        <v>46177.0</v>
      </c>
      <c r="E39" s="15" t="s">
        <v>11</v>
      </c>
      <c r="F39" s="15" t="s">
        <v>93</v>
      </c>
      <c r="G39" s="15" t="s">
        <v>111</v>
      </c>
      <c r="H39" s="15" t="s">
        <v>17</v>
      </c>
      <c r="I39" s="17"/>
      <c r="J39" s="15" t="s">
        <v>155</v>
      </c>
    </row>
    <row r="40" ht="22.5" customHeight="1">
      <c r="A40" s="10">
        <v>46177.67867782408</v>
      </c>
      <c r="B40" s="30">
        <v>0.0</v>
      </c>
      <c r="C40" s="15" t="s">
        <v>116</v>
      </c>
      <c r="D40" s="10">
        <v>46177.0</v>
      </c>
      <c r="E40" s="15" t="s">
        <v>158</v>
      </c>
      <c r="F40" s="15" t="s">
        <v>93</v>
      </c>
      <c r="G40" s="15" t="s">
        <v>111</v>
      </c>
      <c r="H40" s="15" t="s">
        <v>17</v>
      </c>
      <c r="I40" s="17"/>
      <c r="J40" s="15" t="s">
        <v>155</v>
      </c>
    </row>
    <row r="41" ht="22.5" customHeight="1">
      <c r="A41" s="10">
        <v>46177.67998743056</v>
      </c>
      <c r="B41" s="30">
        <v>0.0</v>
      </c>
      <c r="C41" s="15" t="s">
        <v>159</v>
      </c>
      <c r="D41" s="10">
        <v>46177.0</v>
      </c>
      <c r="E41" s="15" t="s">
        <v>160</v>
      </c>
      <c r="F41" s="15" t="s">
        <v>60</v>
      </c>
      <c r="G41" s="15" t="s">
        <v>111</v>
      </c>
      <c r="H41" s="15" t="s">
        <v>17</v>
      </c>
      <c r="I41" s="17"/>
      <c r="J41" s="15" t="s">
        <v>157</v>
      </c>
    </row>
    <row r="42" ht="22.5" customHeight="1">
      <c r="A42" s="10">
        <v>46177.68126391203</v>
      </c>
      <c r="B42" s="30">
        <v>0.0</v>
      </c>
      <c r="C42" s="15" t="s">
        <v>124</v>
      </c>
      <c r="D42" s="10">
        <v>46177.0</v>
      </c>
      <c r="E42" s="15" t="s">
        <v>11</v>
      </c>
      <c r="F42" s="15" t="s">
        <v>35</v>
      </c>
      <c r="G42" s="15" t="s">
        <v>111</v>
      </c>
      <c r="H42" s="15" t="s">
        <v>17</v>
      </c>
      <c r="I42" s="17"/>
      <c r="J42" s="15" t="s">
        <v>155</v>
      </c>
    </row>
    <row r="43" ht="22.5" customHeight="1">
      <c r="A43" s="10">
        <v>46177.68181451389</v>
      </c>
      <c r="B43" s="30">
        <v>0.0</v>
      </c>
      <c r="C43" s="15" t="s">
        <v>161</v>
      </c>
      <c r="D43" s="10">
        <v>46177.0</v>
      </c>
      <c r="E43" s="15" t="s">
        <v>158</v>
      </c>
      <c r="F43" s="15" t="s">
        <v>43</v>
      </c>
      <c r="G43" s="15" t="s">
        <v>111</v>
      </c>
      <c r="H43" s="15" t="s">
        <v>17</v>
      </c>
      <c r="I43" s="17"/>
      <c r="J43" s="15" t="s">
        <v>155</v>
      </c>
    </row>
    <row r="44" ht="22.5" customHeight="1">
      <c r="A44" s="10">
        <v>46177.68228706019</v>
      </c>
      <c r="B44" s="30">
        <v>0.0</v>
      </c>
      <c r="C44" s="15" t="s">
        <v>162</v>
      </c>
      <c r="D44" s="10">
        <v>46177.0</v>
      </c>
      <c r="E44" s="15" t="s">
        <v>158</v>
      </c>
      <c r="F44" s="15" t="s">
        <v>43</v>
      </c>
      <c r="G44" s="15" t="s">
        <v>111</v>
      </c>
      <c r="H44" s="15" t="s">
        <v>17</v>
      </c>
      <c r="I44" s="17"/>
      <c r="J44" s="15" t="s">
        <v>157</v>
      </c>
    </row>
    <row r="45" ht="22.5" customHeight="1">
      <c r="A45" s="10">
        <v>46177.68300259259</v>
      </c>
      <c r="B45" s="30">
        <v>0.0</v>
      </c>
      <c r="C45" s="15" t="s">
        <v>163</v>
      </c>
      <c r="D45" s="10">
        <v>46177.0</v>
      </c>
      <c r="E45" s="15" t="s">
        <v>19</v>
      </c>
      <c r="F45" s="15" t="s">
        <v>20</v>
      </c>
      <c r="G45" s="15" t="s">
        <v>123</v>
      </c>
      <c r="H45" s="15" t="s">
        <v>17</v>
      </c>
      <c r="I45" s="17"/>
      <c r="J45" s="15" t="s">
        <v>20</v>
      </c>
    </row>
    <row r="46" ht="22.5" customHeight="1">
      <c r="A46" s="10">
        <v>46177.68356304398</v>
      </c>
      <c r="B46" s="30">
        <v>0.0</v>
      </c>
      <c r="C46" s="15" t="s">
        <v>139</v>
      </c>
      <c r="D46" s="10">
        <v>46177.0</v>
      </c>
      <c r="E46" s="15" t="s">
        <v>19</v>
      </c>
      <c r="F46" s="15" t="s">
        <v>43</v>
      </c>
      <c r="G46" s="15" t="s">
        <v>123</v>
      </c>
      <c r="H46" s="15" t="s">
        <v>17</v>
      </c>
      <c r="I46" s="17"/>
      <c r="J46" s="15" t="s">
        <v>20</v>
      </c>
    </row>
    <row r="47" ht="22.5" customHeight="1">
      <c r="A47" s="10">
        <v>46177.68400903935</v>
      </c>
      <c r="B47" s="30">
        <v>0.0</v>
      </c>
      <c r="C47" s="15" t="s">
        <v>154</v>
      </c>
      <c r="D47" s="10">
        <v>46177.0</v>
      </c>
      <c r="E47" s="15" t="s">
        <v>36</v>
      </c>
      <c r="F47" s="15" t="s">
        <v>93</v>
      </c>
      <c r="G47" s="15" t="s">
        <v>123</v>
      </c>
      <c r="H47" s="15" t="s">
        <v>17</v>
      </c>
      <c r="I47" s="17"/>
      <c r="J47" s="15" t="s">
        <v>20</v>
      </c>
    </row>
    <row r="48" ht="22.5" customHeight="1">
      <c r="A48" s="10">
        <v>46177.684514583336</v>
      </c>
      <c r="B48" s="30">
        <v>0.0</v>
      </c>
      <c r="C48" s="15" t="s">
        <v>118</v>
      </c>
      <c r="D48" s="10">
        <v>46177.0</v>
      </c>
      <c r="E48" s="15" t="s">
        <v>11</v>
      </c>
      <c r="F48" s="15" t="s">
        <v>93</v>
      </c>
      <c r="G48" s="15" t="s">
        <v>123</v>
      </c>
      <c r="H48" s="15" t="s">
        <v>17</v>
      </c>
      <c r="I48" s="17"/>
      <c r="J48" s="15" t="s">
        <v>20</v>
      </c>
    </row>
    <row r="49" ht="22.5" customHeight="1">
      <c r="A49" s="10">
        <v>46177.68497300926</v>
      </c>
      <c r="B49" s="30">
        <v>0.0</v>
      </c>
      <c r="C49" s="15" t="s">
        <v>110</v>
      </c>
      <c r="D49" s="10">
        <v>46177.0</v>
      </c>
      <c r="E49" s="15" t="s">
        <v>33</v>
      </c>
      <c r="F49" s="15" t="s">
        <v>93</v>
      </c>
      <c r="G49" s="15" t="s">
        <v>123</v>
      </c>
      <c r="H49" s="15" t="s">
        <v>17</v>
      </c>
      <c r="I49" s="17"/>
      <c r="J49" s="15" t="s">
        <v>20</v>
      </c>
    </row>
    <row r="50" ht="22.5" customHeight="1">
      <c r="A50" s="10">
        <v>46177.7331362963</v>
      </c>
      <c r="B50" s="30">
        <v>0.0</v>
      </c>
      <c r="C50" s="15" t="s">
        <v>133</v>
      </c>
      <c r="D50" s="10">
        <v>46174.0</v>
      </c>
      <c r="E50" s="15" t="s">
        <v>164</v>
      </c>
      <c r="F50" s="15" t="s">
        <v>135</v>
      </c>
      <c r="G50" s="15" t="s">
        <v>136</v>
      </c>
      <c r="H50" s="15" t="s">
        <v>17</v>
      </c>
      <c r="I50" s="17"/>
      <c r="J50" s="15" t="s">
        <v>157</v>
      </c>
    </row>
    <row r="51" ht="22.5" customHeight="1">
      <c r="A51" s="10">
        <v>46177.73371068287</v>
      </c>
      <c r="B51" s="30">
        <v>0.0</v>
      </c>
      <c r="C51" s="15" t="s">
        <v>133</v>
      </c>
      <c r="D51" s="10">
        <v>46174.0</v>
      </c>
      <c r="E51" s="15" t="s">
        <v>165</v>
      </c>
      <c r="F51" s="15" t="s">
        <v>135</v>
      </c>
      <c r="G51" s="15" t="s">
        <v>136</v>
      </c>
      <c r="H51" s="15" t="s">
        <v>17</v>
      </c>
      <c r="I51" s="17"/>
      <c r="J51" s="15" t="s">
        <v>155</v>
      </c>
    </row>
    <row r="52" ht="22.5" customHeight="1">
      <c r="A52" s="10">
        <v>46177.73434403935</v>
      </c>
      <c r="B52" s="30">
        <v>0.0</v>
      </c>
      <c r="C52" s="15" t="s">
        <v>133</v>
      </c>
      <c r="D52" s="10">
        <v>46175.0</v>
      </c>
      <c r="E52" s="15" t="s">
        <v>166</v>
      </c>
      <c r="F52" s="15" t="s">
        <v>135</v>
      </c>
      <c r="G52" s="15" t="s">
        <v>136</v>
      </c>
      <c r="H52" s="15" t="s">
        <v>17</v>
      </c>
      <c r="I52" s="17"/>
      <c r="J52" s="15" t="s">
        <v>157</v>
      </c>
    </row>
    <row r="53" ht="22.5" customHeight="1">
      <c r="A53" s="10">
        <v>46177.73508615741</v>
      </c>
      <c r="B53" s="30">
        <v>0.0</v>
      </c>
      <c r="C53" s="15" t="s">
        <v>133</v>
      </c>
      <c r="D53" s="10">
        <v>46175.0</v>
      </c>
      <c r="E53" s="15" t="s">
        <v>167</v>
      </c>
      <c r="F53" s="15" t="s">
        <v>135</v>
      </c>
      <c r="G53" s="15" t="s">
        <v>136</v>
      </c>
      <c r="H53" s="15" t="s">
        <v>17</v>
      </c>
      <c r="I53" s="17"/>
      <c r="J53" s="15" t="s">
        <v>155</v>
      </c>
    </row>
    <row r="54" ht="22.5" customHeight="1">
      <c r="A54" s="10">
        <v>46177.73597008102</v>
      </c>
      <c r="B54" s="30">
        <v>0.0</v>
      </c>
      <c r="C54" s="15" t="s">
        <v>133</v>
      </c>
      <c r="D54" s="10">
        <v>46176.0</v>
      </c>
      <c r="E54" s="15" t="s">
        <v>168</v>
      </c>
      <c r="F54" s="15" t="s">
        <v>135</v>
      </c>
      <c r="G54" s="15" t="s">
        <v>136</v>
      </c>
      <c r="H54" s="15" t="s">
        <v>30</v>
      </c>
      <c r="I54" s="17"/>
      <c r="J54" s="15" t="s">
        <v>157</v>
      </c>
    </row>
    <row r="55" ht="22.5" customHeight="1">
      <c r="A55" s="10">
        <v>46177.73676357639</v>
      </c>
      <c r="B55" s="30">
        <v>0.0</v>
      </c>
      <c r="C55" s="15" t="s">
        <v>133</v>
      </c>
      <c r="D55" s="10">
        <v>46176.0</v>
      </c>
      <c r="E55" s="15" t="s">
        <v>54</v>
      </c>
      <c r="F55" s="15" t="s">
        <v>135</v>
      </c>
      <c r="G55" s="15" t="s">
        <v>136</v>
      </c>
      <c r="H55" s="15" t="s">
        <v>17</v>
      </c>
      <c r="I55" s="17"/>
      <c r="J55" s="15" t="s">
        <v>155</v>
      </c>
    </row>
    <row r="56" ht="22.5" customHeight="1">
      <c r="A56" s="10">
        <v>46177.73744123842</v>
      </c>
      <c r="B56" s="30">
        <v>0.0</v>
      </c>
      <c r="C56" s="15" t="s">
        <v>133</v>
      </c>
      <c r="D56" s="10">
        <v>46177.0</v>
      </c>
      <c r="E56" s="15" t="s">
        <v>168</v>
      </c>
      <c r="F56" s="15" t="s">
        <v>135</v>
      </c>
      <c r="G56" s="15" t="s">
        <v>136</v>
      </c>
      <c r="H56" s="15" t="s">
        <v>17</v>
      </c>
      <c r="I56" s="17"/>
      <c r="J56" s="15" t="s">
        <v>157</v>
      </c>
    </row>
    <row r="57" ht="22.5" customHeight="1">
      <c r="A57" s="10">
        <v>46177.738097002315</v>
      </c>
      <c r="B57" s="30">
        <v>0.0</v>
      </c>
      <c r="C57" s="15" t="s">
        <v>133</v>
      </c>
      <c r="D57" s="10">
        <v>46177.0</v>
      </c>
      <c r="E57" s="15" t="s">
        <v>48</v>
      </c>
      <c r="F57" s="15" t="s">
        <v>135</v>
      </c>
      <c r="G57" s="15" t="s">
        <v>136</v>
      </c>
      <c r="H57" s="15" t="s">
        <v>17</v>
      </c>
      <c r="I57" s="17"/>
      <c r="J57" s="15" t="s">
        <v>155</v>
      </c>
    </row>
    <row r="58" ht="22.5" customHeight="1">
      <c r="A58" s="10">
        <v>46178.450750358796</v>
      </c>
      <c r="B58" s="30">
        <v>0.0</v>
      </c>
      <c r="C58" s="15" t="s">
        <v>133</v>
      </c>
      <c r="D58" s="10">
        <v>46177.0</v>
      </c>
      <c r="E58" s="15" t="s">
        <v>25</v>
      </c>
      <c r="F58" s="15" t="s">
        <v>20</v>
      </c>
      <c r="G58" s="15" t="s">
        <v>123</v>
      </c>
      <c r="H58" s="15" t="s">
        <v>17</v>
      </c>
      <c r="I58" s="17"/>
      <c r="J58" s="15" t="s">
        <v>20</v>
      </c>
    </row>
    <row r="59" ht="22.5" customHeight="1">
      <c r="A59" s="10">
        <v>46178.451437905096</v>
      </c>
      <c r="B59" s="30">
        <v>0.0</v>
      </c>
      <c r="C59" s="15" t="s">
        <v>169</v>
      </c>
      <c r="D59" s="10">
        <v>46178.0</v>
      </c>
      <c r="E59" s="15" t="s">
        <v>170</v>
      </c>
      <c r="F59" s="15" t="s">
        <v>20</v>
      </c>
      <c r="G59" s="15" t="s">
        <v>123</v>
      </c>
      <c r="H59" s="15" t="s">
        <v>17</v>
      </c>
      <c r="I59" s="17"/>
      <c r="J59" s="15" t="s">
        <v>20</v>
      </c>
    </row>
    <row r="60" ht="22.5" customHeight="1">
      <c r="A60" s="10">
        <v>46178.452766284725</v>
      </c>
      <c r="B60" s="30">
        <v>0.0</v>
      </c>
      <c r="C60" s="15" t="s">
        <v>133</v>
      </c>
      <c r="D60" s="10">
        <v>46178.0</v>
      </c>
      <c r="E60" s="15" t="s">
        <v>102</v>
      </c>
      <c r="F60" s="15" t="s">
        <v>20</v>
      </c>
      <c r="G60" s="15" t="s">
        <v>123</v>
      </c>
      <c r="H60" s="15" t="s">
        <v>17</v>
      </c>
      <c r="I60" s="17"/>
      <c r="J60" s="15" t="s">
        <v>20</v>
      </c>
    </row>
    <row r="61" ht="22.5" customHeight="1">
      <c r="A61" s="10">
        <v>46178.65500292824</v>
      </c>
      <c r="B61" s="30">
        <v>0.0</v>
      </c>
      <c r="C61" s="15" t="s">
        <v>163</v>
      </c>
      <c r="D61" s="10">
        <v>46178.0</v>
      </c>
      <c r="E61" s="15" t="s">
        <v>171</v>
      </c>
      <c r="F61" s="15" t="s">
        <v>20</v>
      </c>
      <c r="G61" s="15" t="s">
        <v>123</v>
      </c>
      <c r="H61" s="15" t="s">
        <v>17</v>
      </c>
      <c r="I61" s="17"/>
      <c r="J61" s="15" t="s">
        <v>20</v>
      </c>
    </row>
    <row r="62" ht="22.5" customHeight="1">
      <c r="A62" s="10">
        <v>46178.655568472226</v>
      </c>
      <c r="B62" s="30">
        <v>0.0</v>
      </c>
      <c r="C62" s="15" t="s">
        <v>152</v>
      </c>
      <c r="D62" s="10">
        <v>46178.0</v>
      </c>
      <c r="E62" s="15" t="s">
        <v>29</v>
      </c>
      <c r="F62" s="15" t="s">
        <v>20</v>
      </c>
      <c r="G62" s="15" t="s">
        <v>123</v>
      </c>
      <c r="H62" s="15" t="s">
        <v>30</v>
      </c>
      <c r="I62" s="17"/>
      <c r="J62" s="15" t="s">
        <v>20</v>
      </c>
    </row>
    <row r="63" ht="22.5" customHeight="1">
      <c r="A63" s="10">
        <v>46178.65605415509</v>
      </c>
      <c r="B63" s="30">
        <v>0.0</v>
      </c>
      <c r="C63" s="15" t="s">
        <v>133</v>
      </c>
      <c r="D63" s="10">
        <v>46178.0</v>
      </c>
      <c r="E63" s="15" t="s">
        <v>64</v>
      </c>
      <c r="F63" s="15" t="s">
        <v>20</v>
      </c>
      <c r="G63" s="15" t="s">
        <v>123</v>
      </c>
      <c r="H63" s="15" t="s">
        <v>30</v>
      </c>
      <c r="I63" s="17"/>
      <c r="J63" s="15" t="s">
        <v>20</v>
      </c>
    </row>
    <row r="64" ht="22.5" customHeight="1">
      <c r="A64" s="10">
        <v>46178.66716747685</v>
      </c>
      <c r="B64" s="30">
        <v>0.0</v>
      </c>
      <c r="C64" s="15" t="s">
        <v>172</v>
      </c>
      <c r="D64" s="10">
        <v>46178.0</v>
      </c>
      <c r="E64" s="15" t="s">
        <v>173</v>
      </c>
      <c r="F64" s="15" t="s">
        <v>39</v>
      </c>
      <c r="G64" s="15" t="s">
        <v>111</v>
      </c>
      <c r="H64" s="15" t="s">
        <v>17</v>
      </c>
      <c r="I64" s="17"/>
      <c r="J64" s="15" t="s">
        <v>155</v>
      </c>
    </row>
    <row r="65" ht="22.5" customHeight="1">
      <c r="A65" s="10">
        <v>46179.55430924769</v>
      </c>
      <c r="B65" s="30">
        <v>0.0</v>
      </c>
      <c r="C65" s="15" t="s">
        <v>174</v>
      </c>
      <c r="D65" s="10">
        <v>46179.0</v>
      </c>
      <c r="E65" s="15" t="s">
        <v>25</v>
      </c>
      <c r="F65" s="15" t="s">
        <v>126</v>
      </c>
      <c r="G65" s="15" t="s">
        <v>127</v>
      </c>
      <c r="H65" s="15" t="s">
        <v>30</v>
      </c>
      <c r="I65" s="17"/>
      <c r="J65" s="15" t="s">
        <v>126</v>
      </c>
    </row>
    <row r="66" ht="22.5" customHeight="1">
      <c r="A66" s="10">
        <v>46179.55535458333</v>
      </c>
      <c r="B66" s="30">
        <v>0.0</v>
      </c>
      <c r="C66" s="15" t="s">
        <v>125</v>
      </c>
      <c r="D66" s="10">
        <v>46179.0</v>
      </c>
      <c r="E66" s="15" t="s">
        <v>29</v>
      </c>
      <c r="F66" s="15" t="s">
        <v>126</v>
      </c>
      <c r="G66" s="15" t="s">
        <v>127</v>
      </c>
      <c r="H66" s="15" t="s">
        <v>30</v>
      </c>
      <c r="I66" s="17"/>
      <c r="J66" s="15" t="s">
        <v>126</v>
      </c>
    </row>
    <row r="67" ht="22.5" customHeight="1">
      <c r="A67" s="10">
        <v>46179.618976770835</v>
      </c>
      <c r="B67" s="30">
        <v>0.0</v>
      </c>
      <c r="C67" s="15" t="s">
        <v>154</v>
      </c>
      <c r="D67" s="10">
        <v>46179.0</v>
      </c>
      <c r="E67" s="15" t="s">
        <v>36</v>
      </c>
      <c r="F67" s="15" t="s">
        <v>35</v>
      </c>
      <c r="G67" s="15" t="s">
        <v>111</v>
      </c>
      <c r="H67" s="15" t="s">
        <v>17</v>
      </c>
      <c r="I67" s="17"/>
      <c r="J67" s="15" t="s">
        <v>157</v>
      </c>
    </row>
    <row r="68" ht="22.5" customHeight="1">
      <c r="A68" s="10">
        <v>46179.61971908565</v>
      </c>
      <c r="B68" s="30">
        <v>0.0</v>
      </c>
      <c r="C68" s="15" t="s">
        <v>121</v>
      </c>
      <c r="D68" s="10">
        <v>46179.0</v>
      </c>
      <c r="E68" s="15" t="s">
        <v>175</v>
      </c>
      <c r="F68" s="15" t="s">
        <v>43</v>
      </c>
      <c r="G68" s="15" t="s">
        <v>111</v>
      </c>
      <c r="H68" s="15" t="s">
        <v>17</v>
      </c>
      <c r="I68" s="17"/>
      <c r="J68" s="15" t="s">
        <v>157</v>
      </c>
    </row>
    <row r="69" ht="22.5" customHeight="1">
      <c r="A69" s="10">
        <v>46179.62018550926</v>
      </c>
      <c r="B69" s="30">
        <v>0.0</v>
      </c>
      <c r="C69" s="15" t="s">
        <v>110</v>
      </c>
      <c r="D69" s="10">
        <v>46179.0</v>
      </c>
      <c r="E69" s="15" t="s">
        <v>33</v>
      </c>
      <c r="F69" s="15" t="s">
        <v>93</v>
      </c>
      <c r="G69" s="15" t="s">
        <v>111</v>
      </c>
      <c r="H69" s="15" t="s">
        <v>17</v>
      </c>
      <c r="I69" s="17"/>
      <c r="J69" s="15" t="s">
        <v>157</v>
      </c>
    </row>
    <row r="70" ht="22.5" customHeight="1">
      <c r="A70" s="10">
        <v>46179.620632743055</v>
      </c>
      <c r="B70" s="30">
        <v>0.0</v>
      </c>
      <c r="C70" s="15" t="s">
        <v>118</v>
      </c>
      <c r="D70" s="10">
        <v>46179.0</v>
      </c>
      <c r="E70" s="15" t="s">
        <v>33</v>
      </c>
      <c r="F70" s="15" t="s">
        <v>93</v>
      </c>
      <c r="G70" s="15" t="s">
        <v>111</v>
      </c>
      <c r="H70" s="15" t="s">
        <v>17</v>
      </c>
      <c r="I70" s="17"/>
      <c r="J70" s="15" t="s">
        <v>157</v>
      </c>
    </row>
    <row r="71" ht="22.5" customHeight="1">
      <c r="A71" s="10">
        <v>46179.621823912035</v>
      </c>
      <c r="B71" s="30">
        <v>0.0</v>
      </c>
      <c r="C71" s="15" t="s">
        <v>119</v>
      </c>
      <c r="D71" s="10">
        <v>46179.0</v>
      </c>
      <c r="E71" s="32" t="s">
        <v>176</v>
      </c>
      <c r="F71" s="15" t="s">
        <v>35</v>
      </c>
      <c r="G71" s="15" t="s">
        <v>111</v>
      </c>
      <c r="H71" s="15" t="s">
        <v>17</v>
      </c>
      <c r="I71" s="17"/>
      <c r="J71" s="15" t="s">
        <v>157</v>
      </c>
    </row>
    <row r="72" ht="22.5" customHeight="1">
      <c r="A72" s="10">
        <v>46179.62239579861</v>
      </c>
      <c r="B72" s="30">
        <v>0.0</v>
      </c>
      <c r="C72" s="15" t="s">
        <v>177</v>
      </c>
      <c r="D72" s="10">
        <v>46179.0</v>
      </c>
      <c r="E72" s="15" t="s">
        <v>19</v>
      </c>
      <c r="F72" s="15" t="s">
        <v>35</v>
      </c>
      <c r="G72" s="15" t="s">
        <v>111</v>
      </c>
      <c r="H72" s="15" t="s">
        <v>17</v>
      </c>
      <c r="I72" s="17"/>
      <c r="J72" s="15" t="s">
        <v>155</v>
      </c>
    </row>
    <row r="73" ht="22.5" customHeight="1">
      <c r="A73" s="10">
        <v>46179.66978099537</v>
      </c>
      <c r="B73" s="30">
        <v>0.0</v>
      </c>
      <c r="C73" s="15" t="s">
        <v>178</v>
      </c>
      <c r="D73" s="10">
        <v>46179.0</v>
      </c>
      <c r="E73" s="15" t="s">
        <v>122</v>
      </c>
      <c r="F73" s="15" t="s">
        <v>20</v>
      </c>
      <c r="G73" s="15" t="s">
        <v>123</v>
      </c>
      <c r="H73" s="15" t="s">
        <v>17</v>
      </c>
      <c r="I73" s="17"/>
      <c r="J73" s="15" t="s">
        <v>20</v>
      </c>
    </row>
    <row r="74" ht="22.5" customHeight="1">
      <c r="A74" s="10">
        <v>46179.670255150464</v>
      </c>
      <c r="B74" s="30">
        <v>0.0</v>
      </c>
      <c r="C74" s="15" t="s">
        <v>133</v>
      </c>
      <c r="D74" s="10">
        <v>46179.0</v>
      </c>
      <c r="E74" s="15" t="s">
        <v>171</v>
      </c>
      <c r="F74" s="15" t="s">
        <v>20</v>
      </c>
      <c r="G74" s="15" t="s">
        <v>123</v>
      </c>
      <c r="H74" s="15" t="s">
        <v>17</v>
      </c>
      <c r="I74" s="17"/>
      <c r="J74" s="15" t="s">
        <v>20</v>
      </c>
    </row>
    <row r="75" ht="22.5" customHeight="1">
      <c r="A75" s="10">
        <v>46179.67201818287</v>
      </c>
      <c r="B75" s="30">
        <v>0.0</v>
      </c>
      <c r="C75" s="15" t="s">
        <v>139</v>
      </c>
      <c r="D75" s="10">
        <v>46179.0</v>
      </c>
      <c r="E75" s="15" t="s">
        <v>19</v>
      </c>
      <c r="F75" s="15" t="s">
        <v>20</v>
      </c>
      <c r="G75" s="15" t="s">
        <v>123</v>
      </c>
      <c r="H75" s="15" t="s">
        <v>30</v>
      </c>
      <c r="I75" s="17"/>
      <c r="J75" s="15" t="s">
        <v>20</v>
      </c>
    </row>
    <row r="76" ht="22.5" customHeight="1">
      <c r="A76" s="10">
        <v>46179.67274645834</v>
      </c>
      <c r="B76" s="30">
        <v>0.0</v>
      </c>
      <c r="C76" s="15" t="s">
        <v>179</v>
      </c>
      <c r="D76" s="10">
        <v>46179.0</v>
      </c>
      <c r="E76" s="15" t="s">
        <v>180</v>
      </c>
      <c r="F76" s="15" t="s">
        <v>20</v>
      </c>
      <c r="G76" s="15" t="s">
        <v>123</v>
      </c>
      <c r="H76" s="15" t="s">
        <v>17</v>
      </c>
      <c r="I76" s="17"/>
      <c r="J76" s="15" t="s">
        <v>20</v>
      </c>
    </row>
    <row r="77" ht="22.5" customHeight="1">
      <c r="A77" s="10">
        <v>46179.67347780093</v>
      </c>
      <c r="B77" s="30">
        <v>0.0</v>
      </c>
      <c r="C77" s="15" t="s">
        <v>163</v>
      </c>
      <c r="D77" s="10">
        <v>46179.0</v>
      </c>
      <c r="E77" s="15" t="s">
        <v>19</v>
      </c>
      <c r="F77" s="15" t="s">
        <v>20</v>
      </c>
      <c r="G77" s="15" t="s">
        <v>123</v>
      </c>
      <c r="H77" s="15" t="s">
        <v>30</v>
      </c>
      <c r="I77" s="17"/>
      <c r="J77" s="15" t="s">
        <v>20</v>
      </c>
    </row>
    <row r="78" ht="22.5" customHeight="1">
      <c r="A78" s="10">
        <v>46179.77004887731</v>
      </c>
      <c r="B78" s="30">
        <v>0.0</v>
      </c>
      <c r="C78" s="15" t="s">
        <v>133</v>
      </c>
      <c r="D78" s="10">
        <v>46179.0</v>
      </c>
      <c r="E78" s="15" t="s">
        <v>181</v>
      </c>
      <c r="F78" s="15" t="s">
        <v>135</v>
      </c>
      <c r="G78" s="15" t="s">
        <v>136</v>
      </c>
      <c r="H78" s="15" t="s">
        <v>17</v>
      </c>
      <c r="I78" s="17"/>
      <c r="J78" s="15" t="s">
        <v>157</v>
      </c>
    </row>
    <row r="79" ht="22.5" customHeight="1">
      <c r="A79" s="10">
        <v>46180.49159715278</v>
      </c>
      <c r="B79" s="30">
        <v>0.0</v>
      </c>
      <c r="C79" s="15" t="s">
        <v>182</v>
      </c>
      <c r="D79" s="10">
        <v>46180.0</v>
      </c>
      <c r="E79" s="15" t="s">
        <v>183</v>
      </c>
      <c r="F79" s="15" t="s">
        <v>45</v>
      </c>
      <c r="G79" s="15" t="s">
        <v>123</v>
      </c>
      <c r="H79" s="15" t="s">
        <v>17</v>
      </c>
      <c r="I79" s="17"/>
      <c r="J79" s="15" t="s">
        <v>157</v>
      </c>
    </row>
    <row r="80" ht="22.5" customHeight="1">
      <c r="A80" s="10">
        <v>46180.49261422454</v>
      </c>
      <c r="B80" s="30">
        <v>0.0</v>
      </c>
      <c r="C80" s="15" t="s">
        <v>184</v>
      </c>
      <c r="D80" s="10">
        <v>46180.0</v>
      </c>
      <c r="E80" s="15" t="s">
        <v>185</v>
      </c>
      <c r="F80" s="15" t="s">
        <v>45</v>
      </c>
      <c r="G80" s="15" t="s">
        <v>123</v>
      </c>
      <c r="H80" s="15" t="s">
        <v>17</v>
      </c>
      <c r="I80" s="17"/>
      <c r="J80" s="15" t="s">
        <v>157</v>
      </c>
    </row>
    <row r="81" ht="22.5" customHeight="1">
      <c r="A81" s="10">
        <v>46180.49320336805</v>
      </c>
      <c r="B81" s="30">
        <v>0.0</v>
      </c>
      <c r="C81" s="15" t="s">
        <v>186</v>
      </c>
      <c r="D81" s="10">
        <v>46180.0</v>
      </c>
      <c r="E81" s="15" t="s">
        <v>187</v>
      </c>
      <c r="F81" s="15" t="s">
        <v>45</v>
      </c>
      <c r="G81" s="15" t="s">
        <v>123</v>
      </c>
      <c r="H81" s="15" t="s">
        <v>17</v>
      </c>
      <c r="I81" s="17"/>
      <c r="J81" s="15" t="s">
        <v>157</v>
      </c>
    </row>
    <row r="82" ht="22.5" customHeight="1">
      <c r="A82" s="10">
        <v>46180.49387118056</v>
      </c>
      <c r="B82" s="30">
        <v>0.0</v>
      </c>
      <c r="C82" s="15" t="s">
        <v>188</v>
      </c>
      <c r="D82" s="10">
        <v>46180.0</v>
      </c>
      <c r="E82" s="15" t="s">
        <v>187</v>
      </c>
      <c r="F82" s="15" t="s">
        <v>45</v>
      </c>
      <c r="G82" s="15" t="s">
        <v>123</v>
      </c>
      <c r="H82" s="15" t="s">
        <v>17</v>
      </c>
      <c r="I82" s="17"/>
      <c r="J82" s="15" t="s">
        <v>157</v>
      </c>
    </row>
    <row r="83" ht="22.5" customHeight="1">
      <c r="A83" s="10">
        <v>46180.494361122684</v>
      </c>
      <c r="B83" s="30">
        <v>0.0</v>
      </c>
      <c r="C83" s="15" t="s">
        <v>189</v>
      </c>
      <c r="D83" s="10">
        <v>46180.0</v>
      </c>
      <c r="E83" s="15" t="s">
        <v>187</v>
      </c>
      <c r="F83" s="15" t="s">
        <v>45</v>
      </c>
      <c r="G83" s="15" t="s">
        <v>123</v>
      </c>
      <c r="H83" s="15" t="s">
        <v>17</v>
      </c>
      <c r="I83" s="17"/>
      <c r="J83" s="15" t="s">
        <v>157</v>
      </c>
    </row>
    <row r="84" ht="22.5" customHeight="1">
      <c r="A84" s="10">
        <v>46180.500399282406</v>
      </c>
      <c r="B84" s="30">
        <v>0.0</v>
      </c>
      <c r="C84" s="15" t="s">
        <v>172</v>
      </c>
      <c r="D84" s="10">
        <v>46180.0</v>
      </c>
      <c r="E84" s="15" t="s">
        <v>50</v>
      </c>
      <c r="F84" s="15" t="s">
        <v>14</v>
      </c>
      <c r="G84" s="15" t="s">
        <v>123</v>
      </c>
      <c r="H84" s="15" t="s">
        <v>17</v>
      </c>
      <c r="I84" s="17"/>
      <c r="J84" s="15" t="s">
        <v>157</v>
      </c>
    </row>
    <row r="85" ht="22.5" customHeight="1">
      <c r="A85" s="10">
        <v>46180.501550416666</v>
      </c>
      <c r="B85" s="30">
        <v>0.0</v>
      </c>
      <c r="C85" s="15" t="s">
        <v>190</v>
      </c>
      <c r="D85" s="10">
        <v>46180.0</v>
      </c>
      <c r="E85" s="15" t="s">
        <v>16</v>
      </c>
      <c r="F85" s="15" t="s">
        <v>14</v>
      </c>
      <c r="G85" s="15" t="s">
        <v>123</v>
      </c>
      <c r="H85" s="15" t="s">
        <v>17</v>
      </c>
      <c r="I85" s="17"/>
      <c r="J85" s="15" t="s">
        <v>157</v>
      </c>
    </row>
    <row r="86" ht="22.5" customHeight="1">
      <c r="A86" s="10">
        <v>46181.722677337966</v>
      </c>
      <c r="B86" s="30">
        <v>0.0</v>
      </c>
      <c r="C86" s="15" t="s">
        <v>154</v>
      </c>
      <c r="D86" s="10">
        <v>46181.0</v>
      </c>
      <c r="E86" s="15" t="s">
        <v>36</v>
      </c>
      <c r="F86" s="15" t="s">
        <v>35</v>
      </c>
      <c r="G86" s="15" t="s">
        <v>111</v>
      </c>
      <c r="H86" s="15" t="s">
        <v>17</v>
      </c>
      <c r="I86" s="17"/>
      <c r="J86" s="15" t="s">
        <v>157</v>
      </c>
    </row>
    <row r="87" ht="22.5" customHeight="1">
      <c r="A87" s="10">
        <v>46181.72309936343</v>
      </c>
      <c r="B87" s="30">
        <v>0.0</v>
      </c>
      <c r="C87" s="15" t="s">
        <v>124</v>
      </c>
      <c r="D87" s="10">
        <v>46181.0</v>
      </c>
      <c r="E87" s="15" t="s">
        <v>19</v>
      </c>
      <c r="F87" s="15" t="s">
        <v>35</v>
      </c>
      <c r="G87" s="15" t="s">
        <v>111</v>
      </c>
      <c r="H87" s="15" t="s">
        <v>17</v>
      </c>
      <c r="I87" s="17"/>
      <c r="J87" s="15" t="s">
        <v>157</v>
      </c>
    </row>
    <row r="88" ht="22.5" customHeight="1">
      <c r="A88" s="10">
        <v>46181.723583287036</v>
      </c>
      <c r="B88" s="30">
        <v>0.0</v>
      </c>
      <c r="C88" s="15" t="s">
        <v>162</v>
      </c>
      <c r="D88" s="10">
        <v>46181.0</v>
      </c>
      <c r="E88" s="15" t="s">
        <v>33</v>
      </c>
      <c r="F88" s="15" t="s">
        <v>35</v>
      </c>
      <c r="G88" s="15" t="s">
        <v>111</v>
      </c>
      <c r="H88" s="15" t="s">
        <v>17</v>
      </c>
      <c r="I88" s="17"/>
      <c r="J88" s="15" t="s">
        <v>157</v>
      </c>
    </row>
    <row r="89" ht="22.5" customHeight="1">
      <c r="A89" s="10">
        <v>46181.74775931713</v>
      </c>
      <c r="B89" s="30">
        <v>0.0</v>
      </c>
      <c r="C89" s="15" t="s">
        <v>161</v>
      </c>
      <c r="D89" s="10">
        <v>46181.0</v>
      </c>
      <c r="E89" s="15">
        <v>1.0</v>
      </c>
      <c r="F89" s="15" t="s">
        <v>35</v>
      </c>
      <c r="G89" s="15" t="s">
        <v>111</v>
      </c>
      <c r="H89" s="15" t="s">
        <v>17</v>
      </c>
      <c r="I89" s="17"/>
      <c r="J89" s="15" t="s">
        <v>157</v>
      </c>
    </row>
    <row r="90" ht="22.5" customHeight="1">
      <c r="A90" s="10">
        <v>46181.74815706018</v>
      </c>
      <c r="B90" s="30">
        <v>0.0</v>
      </c>
      <c r="C90" s="15" t="s">
        <v>118</v>
      </c>
      <c r="D90" s="10">
        <v>46181.0</v>
      </c>
      <c r="E90" s="15" t="s">
        <v>11</v>
      </c>
      <c r="F90" s="15" t="s">
        <v>93</v>
      </c>
      <c r="G90" s="15" t="s">
        <v>111</v>
      </c>
      <c r="H90" s="15" t="s">
        <v>17</v>
      </c>
      <c r="I90" s="17"/>
      <c r="J90" s="15" t="s">
        <v>157</v>
      </c>
    </row>
    <row r="91" ht="22.5" customHeight="1">
      <c r="A91" s="10">
        <v>46181.74941456018</v>
      </c>
      <c r="B91" s="30">
        <v>0.0</v>
      </c>
      <c r="C91" s="15" t="s">
        <v>191</v>
      </c>
      <c r="D91" s="10">
        <v>46181.0</v>
      </c>
      <c r="E91" s="15" t="s">
        <v>192</v>
      </c>
      <c r="F91" s="15" t="s">
        <v>60</v>
      </c>
      <c r="G91" s="15" t="s">
        <v>111</v>
      </c>
      <c r="H91" s="15" t="s">
        <v>17</v>
      </c>
      <c r="I91" s="17"/>
      <c r="J91" s="15" t="s">
        <v>155</v>
      </c>
    </row>
    <row r="92" ht="22.5" customHeight="1">
      <c r="A92" s="10">
        <v>46181.75000788194</v>
      </c>
      <c r="B92" s="30">
        <v>0.0</v>
      </c>
      <c r="C92" s="15" t="s">
        <v>110</v>
      </c>
      <c r="D92" s="10">
        <v>46181.0</v>
      </c>
      <c r="E92" s="15" t="s">
        <v>19</v>
      </c>
      <c r="F92" s="15" t="s">
        <v>60</v>
      </c>
      <c r="G92" s="15" t="s">
        <v>111</v>
      </c>
      <c r="H92" s="15" t="s">
        <v>17</v>
      </c>
      <c r="I92" s="17"/>
      <c r="J92" s="15" t="s">
        <v>155</v>
      </c>
    </row>
    <row r="93" ht="22.5" customHeight="1">
      <c r="A93" s="10">
        <v>46181.7508024537</v>
      </c>
      <c r="B93" s="30">
        <v>0.0</v>
      </c>
      <c r="C93" s="15" t="s">
        <v>142</v>
      </c>
      <c r="D93" s="10">
        <v>46181.0</v>
      </c>
      <c r="E93" s="15" t="s">
        <v>193</v>
      </c>
      <c r="F93" s="15" t="s">
        <v>43</v>
      </c>
      <c r="G93" s="15" t="s">
        <v>111</v>
      </c>
      <c r="H93" s="15" t="s">
        <v>17</v>
      </c>
      <c r="I93" s="17"/>
      <c r="J93" s="15" t="s">
        <v>157</v>
      </c>
    </row>
    <row r="94" ht="22.5" customHeight="1">
      <c r="A94" s="10">
        <v>46181.751326840276</v>
      </c>
      <c r="B94" s="30">
        <v>0.0</v>
      </c>
      <c r="C94" s="15" t="s">
        <v>139</v>
      </c>
      <c r="D94" s="10">
        <v>46181.0</v>
      </c>
      <c r="E94" s="15" t="s">
        <v>19</v>
      </c>
      <c r="F94" s="15" t="s">
        <v>56</v>
      </c>
      <c r="G94" s="15" t="s">
        <v>111</v>
      </c>
      <c r="H94" s="15" t="s">
        <v>17</v>
      </c>
      <c r="I94" s="17"/>
      <c r="J94" s="15" t="s">
        <v>157</v>
      </c>
    </row>
    <row r="95" ht="22.5" customHeight="1">
      <c r="A95" s="10">
        <v>46181.75256116898</v>
      </c>
      <c r="B95" s="30">
        <v>0.0</v>
      </c>
      <c r="C95" s="15" t="s">
        <v>114</v>
      </c>
      <c r="D95" s="10">
        <v>46181.0</v>
      </c>
      <c r="E95" s="15">
        <v>1.0</v>
      </c>
      <c r="F95" s="15" t="s">
        <v>60</v>
      </c>
      <c r="G95" s="15" t="s">
        <v>111</v>
      </c>
      <c r="H95" s="15" t="s">
        <v>17</v>
      </c>
      <c r="I95" s="17"/>
      <c r="J95" s="15" t="s">
        <v>157</v>
      </c>
    </row>
    <row r="96" ht="22.5" customHeight="1">
      <c r="A96" s="10">
        <v>46181.753696307875</v>
      </c>
      <c r="B96" s="30">
        <v>0.0</v>
      </c>
      <c r="C96" s="15" t="s">
        <v>142</v>
      </c>
      <c r="D96" s="10">
        <v>46181.0</v>
      </c>
      <c r="E96" s="15" t="s">
        <v>26</v>
      </c>
      <c r="F96" s="15" t="s">
        <v>58</v>
      </c>
      <c r="G96" s="15" t="s">
        <v>123</v>
      </c>
      <c r="H96" s="15" t="s">
        <v>17</v>
      </c>
      <c r="I96" s="17"/>
      <c r="J96" s="15" t="s">
        <v>157</v>
      </c>
    </row>
    <row r="97" ht="22.5" customHeight="1">
      <c r="A97" s="10">
        <v>46181.75430665509</v>
      </c>
      <c r="B97" s="30">
        <v>0.0</v>
      </c>
      <c r="C97" s="15" t="s">
        <v>163</v>
      </c>
      <c r="D97" s="10">
        <v>46181.0</v>
      </c>
      <c r="E97" s="15" t="s">
        <v>19</v>
      </c>
      <c r="F97" s="15" t="s">
        <v>56</v>
      </c>
      <c r="G97" s="15" t="s">
        <v>123</v>
      </c>
      <c r="H97" s="15" t="s">
        <v>17</v>
      </c>
      <c r="I97" s="17"/>
      <c r="J97" s="15" t="s">
        <v>20</v>
      </c>
    </row>
    <row r="98" ht="22.5" customHeight="1">
      <c r="A98" s="10">
        <v>46181.75481208334</v>
      </c>
      <c r="B98" s="30">
        <v>0.0</v>
      </c>
      <c r="C98" s="15" t="s">
        <v>139</v>
      </c>
      <c r="D98" s="10">
        <v>46181.0</v>
      </c>
      <c r="E98" s="15" t="s">
        <v>11</v>
      </c>
      <c r="F98" s="15" t="s">
        <v>56</v>
      </c>
      <c r="G98" s="15" t="s">
        <v>123</v>
      </c>
      <c r="H98" s="15" t="s">
        <v>17</v>
      </c>
      <c r="I98" s="17"/>
      <c r="J98" s="15" t="s">
        <v>151</v>
      </c>
    </row>
    <row r="99" ht="22.5" customHeight="1">
      <c r="A99" s="10">
        <v>46181.75561099537</v>
      </c>
      <c r="B99" s="30">
        <v>0.0</v>
      </c>
      <c r="C99" s="15" t="s">
        <v>132</v>
      </c>
      <c r="D99" s="10">
        <v>46181.0</v>
      </c>
      <c r="E99" s="15" t="s">
        <v>19</v>
      </c>
      <c r="F99" s="15" t="s">
        <v>58</v>
      </c>
      <c r="G99" s="15" t="s">
        <v>123</v>
      </c>
      <c r="H99" s="15" t="s">
        <v>17</v>
      </c>
      <c r="I99" s="17"/>
      <c r="J99" s="15" t="s">
        <v>157</v>
      </c>
    </row>
    <row r="100" ht="22.5" customHeight="1">
      <c r="A100" s="10">
        <v>46181.756287303244</v>
      </c>
      <c r="B100" s="30">
        <v>0.0</v>
      </c>
      <c r="C100" s="15" t="s">
        <v>172</v>
      </c>
      <c r="D100" s="10">
        <v>46181.0</v>
      </c>
      <c r="E100" s="15" t="s">
        <v>19</v>
      </c>
      <c r="F100" s="15" t="s">
        <v>58</v>
      </c>
      <c r="G100" s="15" t="s">
        <v>123</v>
      </c>
      <c r="H100" s="15" t="s">
        <v>17</v>
      </c>
      <c r="I100" s="17"/>
      <c r="J100" s="15" t="s">
        <v>157</v>
      </c>
    </row>
    <row r="101" ht="22.5" customHeight="1">
      <c r="A101" s="10">
        <v>46181.756928206014</v>
      </c>
      <c r="B101" s="30">
        <v>0.0</v>
      </c>
      <c r="C101" s="15" t="s">
        <v>144</v>
      </c>
      <c r="D101" s="10">
        <v>46181.0</v>
      </c>
      <c r="E101" s="15" t="s">
        <v>50</v>
      </c>
      <c r="F101" s="15" t="s">
        <v>58</v>
      </c>
      <c r="G101" s="15" t="s">
        <v>123</v>
      </c>
      <c r="H101" s="15" t="s">
        <v>17</v>
      </c>
      <c r="I101" s="17"/>
      <c r="J101" s="15" t="s">
        <v>157</v>
      </c>
    </row>
    <row r="102" ht="22.5" customHeight="1">
      <c r="A102" s="10">
        <v>46181.757844074076</v>
      </c>
      <c r="B102" s="30">
        <v>0.0</v>
      </c>
      <c r="C102" s="15" t="s">
        <v>194</v>
      </c>
      <c r="D102" s="10">
        <v>46181.0</v>
      </c>
      <c r="E102" s="15" t="s">
        <v>36</v>
      </c>
      <c r="F102" s="15" t="s">
        <v>20</v>
      </c>
      <c r="G102" s="15" t="s">
        <v>123</v>
      </c>
      <c r="H102" s="15" t="s">
        <v>17</v>
      </c>
      <c r="I102" s="17"/>
      <c r="J102" s="15" t="s">
        <v>151</v>
      </c>
    </row>
    <row r="103" ht="22.5" customHeight="1">
      <c r="A103" s="10">
        <v>46181.758467673615</v>
      </c>
      <c r="B103" s="30">
        <v>0.0</v>
      </c>
      <c r="C103" s="15" t="s">
        <v>130</v>
      </c>
      <c r="D103" s="10">
        <v>46181.0</v>
      </c>
      <c r="E103" s="15" t="s">
        <v>19</v>
      </c>
      <c r="F103" s="15" t="s">
        <v>58</v>
      </c>
      <c r="G103" s="15" t="s">
        <v>123</v>
      </c>
      <c r="H103" s="15" t="s">
        <v>17</v>
      </c>
      <c r="I103" s="17"/>
      <c r="J103" s="15" t="s">
        <v>157</v>
      </c>
    </row>
    <row r="104" ht="22.5" customHeight="1">
      <c r="A104" s="10">
        <v>46181.759700509254</v>
      </c>
      <c r="B104" s="30">
        <v>0.0</v>
      </c>
      <c r="C104" s="15" t="s">
        <v>182</v>
      </c>
      <c r="D104" s="10">
        <v>46180.0</v>
      </c>
      <c r="E104" s="15" t="s">
        <v>48</v>
      </c>
      <c r="F104" s="15" t="s">
        <v>45</v>
      </c>
      <c r="G104" s="15" t="s">
        <v>123</v>
      </c>
      <c r="H104" s="15" t="s">
        <v>17</v>
      </c>
      <c r="I104" s="17"/>
      <c r="J104" s="15" t="s">
        <v>157</v>
      </c>
    </row>
    <row r="105" ht="22.5" customHeight="1">
      <c r="A105" s="10">
        <v>46181.76041753472</v>
      </c>
      <c r="B105" s="30">
        <v>0.0</v>
      </c>
      <c r="C105" s="15" t="s">
        <v>133</v>
      </c>
      <c r="D105" s="10">
        <v>46180.0</v>
      </c>
      <c r="E105" s="15" t="s">
        <v>54</v>
      </c>
      <c r="F105" s="15" t="s">
        <v>135</v>
      </c>
      <c r="G105" s="15" t="s">
        <v>136</v>
      </c>
      <c r="H105" s="15" t="s">
        <v>17</v>
      </c>
      <c r="I105" s="17"/>
      <c r="J105" s="15" t="s">
        <v>155</v>
      </c>
    </row>
    <row r="106" ht="22.5" customHeight="1">
      <c r="A106" s="10">
        <v>46181.76149212963</v>
      </c>
      <c r="B106" s="30">
        <v>0.0</v>
      </c>
      <c r="C106" s="15" t="s">
        <v>133</v>
      </c>
      <c r="D106" s="10">
        <v>46181.0</v>
      </c>
      <c r="E106" s="15" t="s">
        <v>195</v>
      </c>
      <c r="F106" s="15" t="s">
        <v>135</v>
      </c>
      <c r="G106" s="15" t="s">
        <v>136</v>
      </c>
      <c r="H106" s="15" t="s">
        <v>17</v>
      </c>
      <c r="I106" s="17"/>
      <c r="J106" s="15" t="s">
        <v>157</v>
      </c>
    </row>
    <row r="107" ht="22.5" customHeight="1">
      <c r="A107" s="10">
        <v>46181.76200125</v>
      </c>
      <c r="B107" s="30">
        <v>0.0</v>
      </c>
      <c r="C107" s="15" t="s">
        <v>133</v>
      </c>
      <c r="D107" s="10">
        <v>46181.0</v>
      </c>
      <c r="E107" s="15" t="s">
        <v>48</v>
      </c>
      <c r="F107" s="15" t="s">
        <v>135</v>
      </c>
      <c r="G107" s="15" t="s">
        <v>136</v>
      </c>
      <c r="H107" s="15" t="s">
        <v>17</v>
      </c>
      <c r="I107" s="17"/>
      <c r="J107" s="15" t="s">
        <v>155</v>
      </c>
    </row>
    <row r="108" ht="22.5" customHeight="1">
      <c r="A108" s="10">
        <v>46182.67972827546</v>
      </c>
      <c r="B108" s="30">
        <v>0.0</v>
      </c>
      <c r="C108" s="15" t="s">
        <v>154</v>
      </c>
      <c r="D108" s="10">
        <v>46182.0</v>
      </c>
      <c r="E108" s="15" t="s">
        <v>36</v>
      </c>
      <c r="F108" s="15" t="s">
        <v>35</v>
      </c>
      <c r="G108" s="15" t="s">
        <v>111</v>
      </c>
      <c r="H108" s="15" t="s">
        <v>17</v>
      </c>
      <c r="I108" s="17"/>
      <c r="J108" s="15" t="s">
        <v>157</v>
      </c>
    </row>
    <row r="109" ht="22.5" customHeight="1">
      <c r="A109" s="10">
        <v>46182.68041104167</v>
      </c>
      <c r="B109" s="30">
        <v>0.0</v>
      </c>
      <c r="C109" s="15" t="s">
        <v>120</v>
      </c>
      <c r="D109" s="10">
        <v>46182.0</v>
      </c>
      <c r="E109" s="15" t="s">
        <v>11</v>
      </c>
      <c r="F109" s="15" t="s">
        <v>35</v>
      </c>
      <c r="G109" s="15" t="s">
        <v>111</v>
      </c>
      <c r="H109" s="15" t="s">
        <v>17</v>
      </c>
      <c r="I109" s="17"/>
      <c r="J109" s="15" t="s">
        <v>157</v>
      </c>
    </row>
    <row r="110" ht="22.5" customHeight="1">
      <c r="A110" s="10">
        <v>46182.68098855324</v>
      </c>
      <c r="B110" s="30">
        <v>0.0</v>
      </c>
      <c r="C110" s="15" t="s">
        <v>119</v>
      </c>
      <c r="D110" s="10">
        <v>46182.0</v>
      </c>
      <c r="E110" s="15" t="s">
        <v>86</v>
      </c>
      <c r="F110" s="15" t="s">
        <v>14</v>
      </c>
      <c r="G110" s="15" t="s">
        <v>111</v>
      </c>
      <c r="H110" s="15" t="s">
        <v>17</v>
      </c>
      <c r="I110" s="17"/>
      <c r="J110" s="15" t="s">
        <v>157</v>
      </c>
    </row>
    <row r="111" ht="22.5" customHeight="1">
      <c r="A111" s="10">
        <v>46182.68154012732</v>
      </c>
      <c r="B111" s="30">
        <v>0.0</v>
      </c>
      <c r="C111" s="15" t="s">
        <v>196</v>
      </c>
      <c r="D111" s="10">
        <v>46182.0</v>
      </c>
      <c r="E111" s="15" t="s">
        <v>16</v>
      </c>
      <c r="F111" s="15" t="s">
        <v>14</v>
      </c>
      <c r="G111" s="15" t="s">
        <v>111</v>
      </c>
      <c r="H111" s="15" t="s">
        <v>17</v>
      </c>
      <c r="I111" s="17"/>
      <c r="J111" s="15" t="s">
        <v>157</v>
      </c>
    </row>
    <row r="112" ht="22.5" customHeight="1">
      <c r="A112" s="10">
        <v>46182.682046284724</v>
      </c>
      <c r="B112" s="30">
        <v>0.0</v>
      </c>
      <c r="C112" s="15" t="s">
        <v>197</v>
      </c>
      <c r="D112" s="10">
        <v>46182.0</v>
      </c>
      <c r="E112" s="15" t="s">
        <v>158</v>
      </c>
      <c r="F112" s="15" t="s">
        <v>35</v>
      </c>
      <c r="G112" s="15" t="s">
        <v>111</v>
      </c>
      <c r="H112" s="15" t="s">
        <v>17</v>
      </c>
      <c r="I112" s="17"/>
      <c r="J112" s="15" t="s">
        <v>157</v>
      </c>
    </row>
    <row r="113" ht="22.5" customHeight="1">
      <c r="A113" s="10">
        <v>46182.68276401621</v>
      </c>
      <c r="B113" s="30">
        <v>0.0</v>
      </c>
      <c r="C113" s="15" t="s">
        <v>118</v>
      </c>
      <c r="D113" s="10">
        <v>46182.0</v>
      </c>
      <c r="E113" s="15" t="s">
        <v>75</v>
      </c>
      <c r="F113" s="15" t="s">
        <v>60</v>
      </c>
      <c r="G113" s="15" t="s">
        <v>111</v>
      </c>
      <c r="H113" s="15" t="s">
        <v>17</v>
      </c>
      <c r="I113" s="17"/>
      <c r="J113" s="15" t="s">
        <v>157</v>
      </c>
    </row>
    <row r="114" ht="22.5" customHeight="1">
      <c r="A114" s="10">
        <v>46182.683408599536</v>
      </c>
      <c r="B114" s="30">
        <v>0.0</v>
      </c>
      <c r="C114" s="15" t="s">
        <v>198</v>
      </c>
      <c r="D114" s="10">
        <v>46182.0</v>
      </c>
      <c r="E114" s="15" t="s">
        <v>75</v>
      </c>
      <c r="F114" s="15" t="s">
        <v>35</v>
      </c>
      <c r="G114" s="15" t="s">
        <v>111</v>
      </c>
      <c r="H114" s="15" t="s">
        <v>17</v>
      </c>
      <c r="I114" s="17"/>
      <c r="J114" s="15" t="s">
        <v>157</v>
      </c>
    </row>
    <row r="115" ht="22.5" customHeight="1">
      <c r="A115" s="10">
        <v>46182.70358678241</v>
      </c>
      <c r="B115" s="30">
        <v>0.0</v>
      </c>
      <c r="C115" s="15" t="s">
        <v>194</v>
      </c>
      <c r="D115" s="10">
        <v>46182.0</v>
      </c>
      <c r="E115" s="15" t="s">
        <v>25</v>
      </c>
      <c r="F115" s="15" t="s">
        <v>20</v>
      </c>
      <c r="G115" s="15" t="s">
        <v>123</v>
      </c>
      <c r="H115" s="15" t="s">
        <v>17</v>
      </c>
      <c r="I115" s="17"/>
      <c r="J115" s="15" t="s">
        <v>20</v>
      </c>
    </row>
    <row r="116" ht="22.5" customHeight="1">
      <c r="A116" s="10">
        <v>46182.704495439815</v>
      </c>
      <c r="B116" s="30">
        <v>0.0</v>
      </c>
      <c r="C116" s="15" t="s">
        <v>139</v>
      </c>
      <c r="D116" s="10">
        <v>46182.0</v>
      </c>
      <c r="E116" s="15" t="s">
        <v>171</v>
      </c>
      <c r="F116" s="15" t="s">
        <v>20</v>
      </c>
      <c r="G116" s="15" t="s">
        <v>123</v>
      </c>
      <c r="H116" s="15" t="s">
        <v>17</v>
      </c>
      <c r="I116" s="17"/>
      <c r="J116" s="15" t="s">
        <v>20</v>
      </c>
    </row>
    <row r="117" ht="22.5" customHeight="1">
      <c r="A117" s="10">
        <v>46182.7049410301</v>
      </c>
      <c r="B117" s="30">
        <v>0.0</v>
      </c>
      <c r="C117" s="15" t="s">
        <v>163</v>
      </c>
      <c r="D117" s="10">
        <v>46182.0</v>
      </c>
      <c r="E117" s="15" t="s">
        <v>19</v>
      </c>
      <c r="F117" s="15" t="s">
        <v>20</v>
      </c>
      <c r="G117" s="15" t="s">
        <v>123</v>
      </c>
      <c r="H117" s="15" t="s">
        <v>17</v>
      </c>
      <c r="I117" s="17"/>
      <c r="J117" s="15" t="s">
        <v>20</v>
      </c>
    </row>
    <row r="118" ht="22.5" customHeight="1">
      <c r="A118" s="10">
        <v>46182.70565945602</v>
      </c>
      <c r="B118" s="30">
        <v>0.0</v>
      </c>
      <c r="C118" s="15" t="s">
        <v>119</v>
      </c>
      <c r="D118" s="33"/>
      <c r="E118" s="17"/>
      <c r="F118" s="15" t="s">
        <v>14</v>
      </c>
      <c r="G118" s="15" t="s">
        <v>123</v>
      </c>
      <c r="H118" s="15" t="s">
        <v>17</v>
      </c>
      <c r="I118" s="17"/>
      <c r="J118" s="15" t="s">
        <v>157</v>
      </c>
    </row>
    <row r="119" ht="22.5" customHeight="1">
      <c r="A119" s="10">
        <v>46182.71104534723</v>
      </c>
      <c r="B119" s="30">
        <v>0.0</v>
      </c>
      <c r="C119" s="15" t="s">
        <v>199</v>
      </c>
      <c r="D119" s="10">
        <v>46182.0</v>
      </c>
      <c r="E119" s="17"/>
      <c r="F119" s="15" t="s">
        <v>14</v>
      </c>
      <c r="G119" s="15" t="s">
        <v>123</v>
      </c>
      <c r="H119" s="15" t="s">
        <v>17</v>
      </c>
      <c r="I119" s="17"/>
      <c r="J119" s="15" t="s">
        <v>157</v>
      </c>
    </row>
    <row r="120" ht="22.5" customHeight="1">
      <c r="A120" s="10">
        <v>46182.71182167824</v>
      </c>
      <c r="B120" s="30">
        <v>0.0</v>
      </c>
      <c r="C120" s="15" t="s">
        <v>200</v>
      </c>
      <c r="D120" s="10">
        <v>46182.0</v>
      </c>
      <c r="E120" s="15" t="s">
        <v>171</v>
      </c>
      <c r="F120" s="15" t="s">
        <v>14</v>
      </c>
      <c r="G120" s="15" t="s">
        <v>123</v>
      </c>
      <c r="H120" s="15" t="s">
        <v>17</v>
      </c>
      <c r="I120" s="17"/>
      <c r="J120" s="15" t="s">
        <v>157</v>
      </c>
    </row>
    <row r="121" ht="22.5" customHeight="1">
      <c r="A121" s="10">
        <v>46183.40649217593</v>
      </c>
      <c r="B121" s="30">
        <v>0.0</v>
      </c>
      <c r="C121" s="15" t="s">
        <v>201</v>
      </c>
      <c r="D121" s="10">
        <v>46183.0</v>
      </c>
      <c r="E121" s="15">
        <v>1.0</v>
      </c>
      <c r="F121" s="15" t="s">
        <v>14</v>
      </c>
      <c r="G121" s="15" t="s">
        <v>123</v>
      </c>
      <c r="H121" s="15" t="s">
        <v>202</v>
      </c>
      <c r="I121" s="17"/>
      <c r="J121" s="15" t="s">
        <v>157</v>
      </c>
    </row>
    <row r="122" ht="22.5" customHeight="1">
      <c r="A122" s="10">
        <v>46183.40711966435</v>
      </c>
      <c r="B122" s="30">
        <v>0.0</v>
      </c>
      <c r="C122" s="15" t="s">
        <v>119</v>
      </c>
      <c r="D122" s="10">
        <v>46183.0</v>
      </c>
      <c r="E122" s="15">
        <v>0.5</v>
      </c>
      <c r="F122" s="15" t="s">
        <v>14</v>
      </c>
      <c r="G122" s="15" t="s">
        <v>123</v>
      </c>
      <c r="H122" s="15" t="s">
        <v>202</v>
      </c>
      <c r="I122" s="17"/>
      <c r="J122" s="15" t="s">
        <v>157</v>
      </c>
    </row>
    <row r="123" ht="22.5" customHeight="1">
      <c r="A123" s="10">
        <v>46183.40777157407</v>
      </c>
      <c r="B123" s="30">
        <v>0.0</v>
      </c>
      <c r="C123" s="15" t="s">
        <v>110</v>
      </c>
      <c r="D123" s="10">
        <v>46183.0</v>
      </c>
      <c r="E123" s="15">
        <v>1.25</v>
      </c>
      <c r="F123" s="15" t="s">
        <v>20</v>
      </c>
      <c r="G123" s="15" t="s">
        <v>123</v>
      </c>
      <c r="H123" s="15" t="s">
        <v>202</v>
      </c>
      <c r="I123" s="17"/>
      <c r="J123" s="15" t="s">
        <v>20</v>
      </c>
    </row>
    <row r="124" ht="22.5" customHeight="1">
      <c r="A124" s="10">
        <v>46183.40913108796</v>
      </c>
      <c r="B124" s="30">
        <v>0.0</v>
      </c>
      <c r="C124" s="15" t="s">
        <v>172</v>
      </c>
      <c r="D124" s="10">
        <v>46183.0</v>
      </c>
      <c r="E124" s="15">
        <v>1.0</v>
      </c>
      <c r="F124" s="15" t="s">
        <v>14</v>
      </c>
      <c r="G124" s="15" t="s">
        <v>123</v>
      </c>
      <c r="H124" s="15" t="s">
        <v>202</v>
      </c>
      <c r="I124" s="17"/>
      <c r="J124" s="15" t="s">
        <v>157</v>
      </c>
    </row>
    <row r="125" ht="22.5" customHeight="1">
      <c r="A125" s="10">
        <v>46184.314036435186</v>
      </c>
      <c r="B125" s="30">
        <v>0.0</v>
      </c>
      <c r="C125" s="15" t="s">
        <v>179</v>
      </c>
      <c r="D125" s="10">
        <v>46183.0</v>
      </c>
      <c r="E125" s="15" t="s">
        <v>203</v>
      </c>
      <c r="F125" s="15" t="s">
        <v>20</v>
      </c>
      <c r="G125" s="15" t="s">
        <v>123</v>
      </c>
      <c r="H125" s="15" t="s">
        <v>17</v>
      </c>
      <c r="I125" s="17"/>
      <c r="J125" s="15" t="s">
        <v>20</v>
      </c>
    </row>
    <row r="126" ht="22.5" customHeight="1">
      <c r="A126" s="10">
        <v>46184.314648252315</v>
      </c>
      <c r="B126" s="30">
        <v>0.0</v>
      </c>
      <c r="C126" s="15" t="s">
        <v>139</v>
      </c>
      <c r="D126" s="10">
        <v>46183.0</v>
      </c>
      <c r="E126" s="15" t="s">
        <v>41</v>
      </c>
      <c r="F126" s="15" t="s">
        <v>20</v>
      </c>
      <c r="G126" s="15" t="s">
        <v>123</v>
      </c>
      <c r="H126" s="15" t="s">
        <v>17</v>
      </c>
      <c r="I126" s="17"/>
      <c r="J126" s="15" t="s">
        <v>20</v>
      </c>
    </row>
    <row r="127" ht="22.5" customHeight="1">
      <c r="A127" s="10">
        <v>46184.31531791667</v>
      </c>
      <c r="B127" s="30">
        <v>0.0</v>
      </c>
      <c r="C127" s="15" t="s">
        <v>163</v>
      </c>
      <c r="D127" s="10">
        <v>46183.0</v>
      </c>
      <c r="E127" s="15" t="s">
        <v>94</v>
      </c>
      <c r="F127" s="15" t="s">
        <v>56</v>
      </c>
      <c r="G127" s="15" t="s">
        <v>123</v>
      </c>
      <c r="H127" s="15" t="s">
        <v>17</v>
      </c>
      <c r="I127" s="17"/>
      <c r="J127" s="15" t="s">
        <v>20</v>
      </c>
    </row>
    <row r="128" ht="22.5" customHeight="1">
      <c r="A128" s="10">
        <v>46184.31689011574</v>
      </c>
      <c r="B128" s="30">
        <v>0.0</v>
      </c>
      <c r="C128" s="15" t="s">
        <v>119</v>
      </c>
      <c r="D128" s="10">
        <v>46183.0</v>
      </c>
      <c r="E128" s="15" t="s">
        <v>19</v>
      </c>
      <c r="F128" s="15" t="s">
        <v>14</v>
      </c>
      <c r="G128" s="15" t="s">
        <v>123</v>
      </c>
      <c r="H128" s="15" t="s">
        <v>17</v>
      </c>
      <c r="I128" s="17"/>
      <c r="J128" s="15" t="s">
        <v>157</v>
      </c>
    </row>
    <row r="129" ht="22.5" customHeight="1">
      <c r="A129" s="10">
        <v>46184.318471921295</v>
      </c>
      <c r="B129" s="30">
        <v>0.0</v>
      </c>
      <c r="C129" s="15" t="s">
        <v>172</v>
      </c>
      <c r="D129" s="10">
        <v>46183.0</v>
      </c>
      <c r="E129" s="15" t="s">
        <v>204</v>
      </c>
      <c r="F129" s="15" t="s">
        <v>14</v>
      </c>
      <c r="G129" s="15" t="s">
        <v>123</v>
      </c>
      <c r="H129" s="15" t="s">
        <v>17</v>
      </c>
      <c r="I129" s="17"/>
      <c r="J129" s="15" t="s">
        <v>157</v>
      </c>
    </row>
    <row r="130" ht="22.5" customHeight="1">
      <c r="A130" s="10">
        <v>46184.319228356486</v>
      </c>
      <c r="B130" s="30">
        <v>0.0</v>
      </c>
      <c r="C130" s="15" t="s">
        <v>199</v>
      </c>
      <c r="D130" s="10">
        <v>46183.0</v>
      </c>
      <c r="E130" s="15" t="s">
        <v>205</v>
      </c>
      <c r="F130" s="15" t="s">
        <v>14</v>
      </c>
      <c r="G130" s="15" t="s">
        <v>123</v>
      </c>
      <c r="H130" s="15" t="s">
        <v>17</v>
      </c>
      <c r="I130" s="17"/>
      <c r="J130" s="15" t="s">
        <v>157</v>
      </c>
    </row>
    <row r="131" ht="22.5" customHeight="1">
      <c r="A131" s="10">
        <v>46184.31979450231</v>
      </c>
      <c r="B131" s="30">
        <v>0.0</v>
      </c>
      <c r="C131" s="15" t="s">
        <v>124</v>
      </c>
      <c r="D131" s="10">
        <v>46183.0</v>
      </c>
      <c r="E131" s="15" t="s">
        <v>75</v>
      </c>
      <c r="F131" s="15" t="s">
        <v>14</v>
      </c>
      <c r="G131" s="15" t="s">
        <v>123</v>
      </c>
      <c r="H131" s="15" t="s">
        <v>17</v>
      </c>
      <c r="I131" s="17"/>
      <c r="J131" s="15" t="s">
        <v>157</v>
      </c>
    </row>
    <row r="132" ht="22.5" customHeight="1">
      <c r="A132" s="10">
        <v>46184.32042959491</v>
      </c>
      <c r="B132" s="30">
        <v>0.0</v>
      </c>
      <c r="C132" s="15" t="s">
        <v>144</v>
      </c>
      <c r="D132" s="10">
        <v>46183.0</v>
      </c>
      <c r="E132" s="15" t="s">
        <v>206</v>
      </c>
      <c r="F132" s="15" t="s">
        <v>14</v>
      </c>
      <c r="G132" s="15" t="s">
        <v>123</v>
      </c>
      <c r="H132" s="15" t="s">
        <v>17</v>
      </c>
      <c r="I132" s="17"/>
      <c r="J132" s="15" t="s">
        <v>157</v>
      </c>
    </row>
    <row r="133" ht="22.5" customHeight="1">
      <c r="A133" s="10">
        <v>46184.32830916667</v>
      </c>
      <c r="B133" s="30">
        <v>0.0</v>
      </c>
      <c r="C133" s="15" t="s">
        <v>124</v>
      </c>
      <c r="D133" s="10">
        <v>46183.0</v>
      </c>
      <c r="E133" s="15" t="s">
        <v>17</v>
      </c>
      <c r="F133" s="15" t="s">
        <v>35</v>
      </c>
      <c r="G133" s="15" t="s">
        <v>111</v>
      </c>
      <c r="H133" s="15" t="s">
        <v>17</v>
      </c>
      <c r="I133" s="17"/>
      <c r="J133" s="15" t="s">
        <v>157</v>
      </c>
    </row>
    <row r="134" ht="22.5" customHeight="1">
      <c r="A134" s="10">
        <v>46184.32883679398</v>
      </c>
      <c r="B134" s="30">
        <v>0.0</v>
      </c>
      <c r="C134" s="15" t="s">
        <v>110</v>
      </c>
      <c r="D134" s="10">
        <v>46183.0</v>
      </c>
      <c r="E134" s="15" t="s">
        <v>17</v>
      </c>
      <c r="F134" s="15" t="s">
        <v>60</v>
      </c>
      <c r="G134" s="15" t="s">
        <v>111</v>
      </c>
      <c r="H134" s="15" t="s">
        <v>17</v>
      </c>
      <c r="I134" s="17"/>
      <c r="J134" s="15" t="s">
        <v>157</v>
      </c>
    </row>
    <row r="135" ht="22.5" customHeight="1">
      <c r="A135" s="10">
        <v>46185.50182010417</v>
      </c>
      <c r="B135" s="30">
        <v>0.0</v>
      </c>
      <c r="C135" s="15" t="s">
        <v>152</v>
      </c>
      <c r="D135" s="10">
        <v>46185.0</v>
      </c>
      <c r="E135" s="15" t="s">
        <v>170</v>
      </c>
      <c r="F135" s="15" t="s">
        <v>20</v>
      </c>
      <c r="G135" s="15" t="s">
        <v>123</v>
      </c>
      <c r="H135" s="15" t="s">
        <v>17</v>
      </c>
      <c r="I135" s="17"/>
      <c r="J135" s="15" t="s">
        <v>20</v>
      </c>
    </row>
    <row r="136" ht="22.5" customHeight="1">
      <c r="A136" s="10">
        <v>46185.50225622686</v>
      </c>
      <c r="B136" s="30">
        <v>0.0</v>
      </c>
      <c r="C136" s="15" t="s">
        <v>147</v>
      </c>
      <c r="D136" s="10">
        <v>46185.0</v>
      </c>
      <c r="E136" s="15" t="s">
        <v>74</v>
      </c>
      <c r="F136" s="15" t="s">
        <v>20</v>
      </c>
      <c r="G136" s="15" t="s">
        <v>123</v>
      </c>
      <c r="H136" s="15" t="s">
        <v>17</v>
      </c>
      <c r="I136" s="17"/>
      <c r="J136" s="15" t="s">
        <v>20</v>
      </c>
    </row>
    <row r="137" ht="22.5" customHeight="1">
      <c r="A137" s="10">
        <v>46185.50277684028</v>
      </c>
      <c r="B137" s="30">
        <v>0.0</v>
      </c>
      <c r="C137" s="15" t="s">
        <v>163</v>
      </c>
      <c r="D137" s="10">
        <v>46185.0</v>
      </c>
      <c r="E137" s="15" t="s">
        <v>19</v>
      </c>
      <c r="F137" s="15" t="s">
        <v>20</v>
      </c>
      <c r="G137" s="15" t="s">
        <v>123</v>
      </c>
      <c r="H137" s="15" t="s">
        <v>17</v>
      </c>
      <c r="I137" s="17"/>
      <c r="J137" s="15" t="s">
        <v>20</v>
      </c>
    </row>
    <row r="138" ht="22.5" customHeight="1">
      <c r="A138" s="10">
        <v>46185.503349502316</v>
      </c>
      <c r="B138" s="30">
        <v>0.0</v>
      </c>
      <c r="C138" s="15" t="s">
        <v>139</v>
      </c>
      <c r="D138" s="10">
        <v>46185.0</v>
      </c>
      <c r="E138" s="15" t="s">
        <v>19</v>
      </c>
      <c r="F138" s="15" t="s">
        <v>20</v>
      </c>
      <c r="G138" s="15" t="s">
        <v>123</v>
      </c>
      <c r="H138" s="15" t="s">
        <v>17</v>
      </c>
      <c r="I138" s="17"/>
      <c r="J138" s="15" t="s">
        <v>20</v>
      </c>
    </row>
    <row r="139" ht="22.5" customHeight="1">
      <c r="A139" s="10">
        <v>46185.50409835648</v>
      </c>
      <c r="B139" s="30">
        <v>0.0</v>
      </c>
      <c r="C139" s="15" t="s">
        <v>116</v>
      </c>
      <c r="D139" s="10">
        <v>46185.0</v>
      </c>
      <c r="E139" s="15" t="s">
        <v>192</v>
      </c>
      <c r="F139" s="15" t="s">
        <v>20</v>
      </c>
      <c r="G139" s="15" t="s">
        <v>123</v>
      </c>
      <c r="H139" s="15" t="s">
        <v>17</v>
      </c>
      <c r="I139" s="17"/>
      <c r="J139" s="15" t="s">
        <v>20</v>
      </c>
    </row>
    <row r="140" ht="22.5" customHeight="1">
      <c r="A140" s="10">
        <v>46185.505308506945</v>
      </c>
      <c r="B140" s="30">
        <v>0.0</v>
      </c>
      <c r="C140" s="15" t="s">
        <v>144</v>
      </c>
      <c r="D140" s="10">
        <v>46185.0</v>
      </c>
      <c r="E140" s="15">
        <v>100.0</v>
      </c>
      <c r="F140" s="15" t="s">
        <v>20</v>
      </c>
      <c r="G140" s="15" t="s">
        <v>123</v>
      </c>
      <c r="H140" s="15" t="s">
        <v>17</v>
      </c>
      <c r="I140" s="17"/>
      <c r="J140" s="15" t="s">
        <v>20</v>
      </c>
    </row>
    <row r="141" ht="22.5" customHeight="1">
      <c r="A141" s="10">
        <v>46185.50582158565</v>
      </c>
      <c r="B141" s="30">
        <v>0.0</v>
      </c>
      <c r="C141" s="15" t="s">
        <v>118</v>
      </c>
      <c r="D141" s="10">
        <v>46185.0</v>
      </c>
      <c r="E141" s="15" t="s">
        <v>11</v>
      </c>
      <c r="F141" s="15" t="s">
        <v>20</v>
      </c>
      <c r="G141" s="15" t="s">
        <v>123</v>
      </c>
      <c r="H141" s="15" t="s">
        <v>17</v>
      </c>
      <c r="I141" s="17"/>
      <c r="J141" s="15" t="s">
        <v>20</v>
      </c>
    </row>
    <row r="142" ht="22.5" customHeight="1">
      <c r="A142" s="10">
        <v>46185.50638118056</v>
      </c>
      <c r="B142" s="30">
        <v>0.0</v>
      </c>
      <c r="C142" s="15" t="s">
        <v>110</v>
      </c>
      <c r="D142" s="10">
        <v>46185.0</v>
      </c>
      <c r="E142" s="15" t="s">
        <v>33</v>
      </c>
      <c r="F142" s="15" t="s">
        <v>20</v>
      </c>
      <c r="G142" s="15" t="s">
        <v>123</v>
      </c>
      <c r="H142" s="15" t="s">
        <v>17</v>
      </c>
      <c r="I142" s="17"/>
      <c r="J142" s="15" t="s">
        <v>20</v>
      </c>
    </row>
    <row r="143" ht="22.5" customHeight="1">
      <c r="A143" s="10">
        <v>46185.50688021991</v>
      </c>
      <c r="B143" s="30">
        <v>0.0</v>
      </c>
      <c r="C143" s="15" t="s">
        <v>154</v>
      </c>
      <c r="D143" s="10">
        <v>46185.0</v>
      </c>
      <c r="E143" s="15" t="s">
        <v>36</v>
      </c>
      <c r="F143" s="15" t="s">
        <v>20</v>
      </c>
      <c r="G143" s="15" t="s">
        <v>123</v>
      </c>
      <c r="H143" s="15" t="s">
        <v>17</v>
      </c>
      <c r="I143" s="17"/>
      <c r="J143" s="15" t="s">
        <v>20</v>
      </c>
    </row>
    <row r="144" ht="22.5" customHeight="1">
      <c r="A144" s="10">
        <v>46185.5078112037</v>
      </c>
      <c r="B144" s="30">
        <v>0.0</v>
      </c>
      <c r="C144" s="15" t="s">
        <v>198</v>
      </c>
      <c r="D144" s="10">
        <v>46185.0</v>
      </c>
      <c r="E144" s="15">
        <v>1.0</v>
      </c>
      <c r="F144" s="15" t="s">
        <v>60</v>
      </c>
      <c r="G144" s="15" t="s">
        <v>111</v>
      </c>
      <c r="H144" s="15" t="s">
        <v>17</v>
      </c>
      <c r="I144" s="17"/>
      <c r="J144" s="15" t="s">
        <v>157</v>
      </c>
    </row>
    <row r="145" ht="22.5" customHeight="1">
      <c r="A145" s="10">
        <v>46185.50848089121</v>
      </c>
      <c r="B145" s="30">
        <v>0.0</v>
      </c>
      <c r="C145" s="15" t="s">
        <v>118</v>
      </c>
      <c r="D145" s="10">
        <v>46185.0</v>
      </c>
      <c r="E145" s="15" t="s">
        <v>33</v>
      </c>
      <c r="F145" s="15" t="s">
        <v>60</v>
      </c>
      <c r="G145" s="15" t="s">
        <v>111</v>
      </c>
      <c r="H145" s="15" t="s">
        <v>17</v>
      </c>
      <c r="I145" s="17"/>
      <c r="J145" s="15" t="s">
        <v>157</v>
      </c>
    </row>
    <row r="146" ht="22.5" customHeight="1">
      <c r="A146" s="10">
        <v>46185.50979509259</v>
      </c>
      <c r="B146" s="30">
        <v>0.0</v>
      </c>
      <c r="C146" s="15" t="s">
        <v>174</v>
      </c>
      <c r="D146" s="10">
        <v>46185.0</v>
      </c>
      <c r="E146" s="15" t="s">
        <v>26</v>
      </c>
      <c r="F146" s="15" t="s">
        <v>126</v>
      </c>
      <c r="G146" s="15" t="s">
        <v>127</v>
      </c>
      <c r="H146" s="15" t="s">
        <v>17</v>
      </c>
      <c r="I146" s="17"/>
      <c r="J146" s="15" t="s">
        <v>126</v>
      </c>
    </row>
    <row r="147" ht="22.5" customHeight="1">
      <c r="A147" s="10">
        <v>46185.51042118056</v>
      </c>
      <c r="B147" s="30">
        <v>0.0</v>
      </c>
      <c r="C147" s="15" t="s">
        <v>125</v>
      </c>
      <c r="D147" s="10">
        <v>46185.0</v>
      </c>
      <c r="E147" s="15" t="s">
        <v>207</v>
      </c>
      <c r="F147" s="15" t="s">
        <v>126</v>
      </c>
      <c r="G147" s="15" t="s">
        <v>127</v>
      </c>
      <c r="H147" s="15" t="s">
        <v>17</v>
      </c>
      <c r="I147" s="17"/>
      <c r="J147" s="15" t="s">
        <v>126</v>
      </c>
    </row>
    <row r="148" ht="22.5" customHeight="1">
      <c r="A148" s="10">
        <v>46185.74870140046</v>
      </c>
      <c r="B148" s="30">
        <v>0.0</v>
      </c>
      <c r="C148" s="15" t="s">
        <v>133</v>
      </c>
      <c r="D148" s="10">
        <v>46185.0</v>
      </c>
      <c r="E148" s="15" t="s">
        <v>25</v>
      </c>
      <c r="F148" s="15" t="s">
        <v>39</v>
      </c>
      <c r="G148" s="15" t="s">
        <v>111</v>
      </c>
      <c r="H148" s="15" t="s">
        <v>17</v>
      </c>
      <c r="I148" s="17"/>
      <c r="J148" s="15" t="s">
        <v>155</v>
      </c>
    </row>
    <row r="149" ht="22.5" customHeight="1">
      <c r="A149" s="10">
        <v>46185.7491397338</v>
      </c>
      <c r="B149" s="30">
        <v>0.0</v>
      </c>
      <c r="C149" s="15" t="s">
        <v>172</v>
      </c>
      <c r="D149" s="10">
        <v>46185.0</v>
      </c>
      <c r="E149" s="15">
        <v>1.0</v>
      </c>
      <c r="F149" s="15" t="s">
        <v>39</v>
      </c>
      <c r="G149" s="15" t="s">
        <v>111</v>
      </c>
      <c r="H149" s="15" t="s">
        <v>17</v>
      </c>
      <c r="I149" s="17"/>
      <c r="J149" s="15" t="s">
        <v>155</v>
      </c>
    </row>
    <row r="150" ht="22.5" customHeight="1">
      <c r="A150" s="10">
        <v>46186.40243664352</v>
      </c>
      <c r="B150" s="30">
        <v>0.0</v>
      </c>
      <c r="C150" s="15" t="s">
        <v>152</v>
      </c>
      <c r="D150" s="10">
        <v>46186.0</v>
      </c>
      <c r="E150" s="15" t="s">
        <v>208</v>
      </c>
      <c r="F150" s="15" t="s">
        <v>20</v>
      </c>
      <c r="G150" s="15" t="s">
        <v>123</v>
      </c>
      <c r="H150" s="15" t="s">
        <v>17</v>
      </c>
      <c r="I150" s="17"/>
      <c r="J150" s="15" t="s">
        <v>20</v>
      </c>
    </row>
    <row r="151" ht="22.5" customHeight="1">
      <c r="A151" s="10">
        <v>46186.4029841088</v>
      </c>
      <c r="B151" s="30">
        <v>0.0</v>
      </c>
      <c r="C151" s="15" t="s">
        <v>133</v>
      </c>
      <c r="D151" s="10">
        <v>46186.0</v>
      </c>
      <c r="E151" s="15" t="s">
        <v>64</v>
      </c>
      <c r="F151" s="15" t="s">
        <v>20</v>
      </c>
      <c r="G151" s="15" t="s">
        <v>123</v>
      </c>
      <c r="H151" s="15" t="s">
        <v>17</v>
      </c>
      <c r="I151" s="17"/>
      <c r="J151" s="15" t="s">
        <v>20</v>
      </c>
    </row>
    <row r="152" ht="22.5" customHeight="1">
      <c r="A152" s="10">
        <v>46186.40337100695</v>
      </c>
      <c r="B152" s="30">
        <v>0.0</v>
      </c>
      <c r="C152" s="15" t="s">
        <v>163</v>
      </c>
      <c r="D152" s="10">
        <v>46186.0</v>
      </c>
      <c r="E152" s="15" t="s">
        <v>94</v>
      </c>
      <c r="F152" s="15" t="s">
        <v>20</v>
      </c>
      <c r="G152" s="15" t="s">
        <v>123</v>
      </c>
      <c r="H152" s="15" t="s">
        <v>17</v>
      </c>
      <c r="I152" s="17"/>
      <c r="J152" s="15" t="s">
        <v>20</v>
      </c>
    </row>
    <row r="153" ht="22.5" customHeight="1">
      <c r="A153" s="10">
        <v>46187.4358658912</v>
      </c>
      <c r="B153" s="30">
        <v>0.0</v>
      </c>
      <c r="C153" s="15" t="s">
        <v>152</v>
      </c>
      <c r="D153" s="10">
        <v>46187.0</v>
      </c>
      <c r="E153" s="15" t="s">
        <v>209</v>
      </c>
      <c r="F153" s="15" t="s">
        <v>20</v>
      </c>
      <c r="G153" s="15" t="s">
        <v>123</v>
      </c>
      <c r="H153" s="15" t="s">
        <v>17</v>
      </c>
      <c r="I153" s="17"/>
      <c r="J153" s="15" t="s">
        <v>20</v>
      </c>
    </row>
    <row r="154" ht="22.5" customHeight="1">
      <c r="A154" s="10">
        <v>46187.436422557876</v>
      </c>
      <c r="B154" s="30">
        <v>0.0</v>
      </c>
      <c r="C154" s="15" t="s">
        <v>139</v>
      </c>
      <c r="D154" s="10">
        <v>46187.0</v>
      </c>
      <c r="E154" s="15" t="s">
        <v>75</v>
      </c>
      <c r="F154" s="15" t="s">
        <v>20</v>
      </c>
      <c r="G154" s="15" t="s">
        <v>123</v>
      </c>
      <c r="H154" s="15" t="s">
        <v>17</v>
      </c>
      <c r="I154" s="17"/>
      <c r="J154" s="15" t="s">
        <v>20</v>
      </c>
    </row>
    <row r="155" ht="22.5" customHeight="1">
      <c r="A155" s="10">
        <v>46187.44482055555</v>
      </c>
      <c r="B155" s="30">
        <v>0.0</v>
      </c>
      <c r="C155" s="15" t="s">
        <v>182</v>
      </c>
      <c r="D155" s="10">
        <v>46187.0</v>
      </c>
      <c r="E155" s="15" t="s">
        <v>64</v>
      </c>
      <c r="F155" s="15" t="s">
        <v>45</v>
      </c>
      <c r="G155" s="15" t="s">
        <v>123</v>
      </c>
      <c r="H155" s="15" t="s">
        <v>17</v>
      </c>
      <c r="I155" s="17"/>
      <c r="J155" s="15" t="s">
        <v>157</v>
      </c>
    </row>
    <row r="156" ht="22.5" customHeight="1">
      <c r="A156" s="10">
        <v>46187.44535383102</v>
      </c>
      <c r="B156" s="30">
        <v>0.0</v>
      </c>
      <c r="C156" s="15" t="s">
        <v>119</v>
      </c>
      <c r="D156" s="10">
        <v>46187.0</v>
      </c>
      <c r="E156" s="15" t="s">
        <v>83</v>
      </c>
      <c r="F156" s="15" t="s">
        <v>14</v>
      </c>
      <c r="G156" s="15" t="s">
        <v>123</v>
      </c>
      <c r="H156" s="15" t="s">
        <v>17</v>
      </c>
      <c r="I156" s="17"/>
      <c r="J156" s="15" t="s">
        <v>157</v>
      </c>
    </row>
    <row r="157" ht="22.5" customHeight="1">
      <c r="A157" s="10">
        <v>46187.44607209491</v>
      </c>
      <c r="B157" s="30">
        <v>0.0</v>
      </c>
      <c r="C157" s="15" t="s">
        <v>199</v>
      </c>
      <c r="D157" s="10">
        <v>46187.0</v>
      </c>
      <c r="E157" s="15" t="s">
        <v>83</v>
      </c>
      <c r="F157" s="15" t="s">
        <v>14</v>
      </c>
      <c r="G157" s="15" t="s">
        <v>123</v>
      </c>
      <c r="H157" s="15" t="s">
        <v>17</v>
      </c>
      <c r="I157" s="17"/>
      <c r="J157" s="15" t="s">
        <v>157</v>
      </c>
    </row>
    <row r="158" ht="22.5" customHeight="1">
      <c r="A158" s="10">
        <v>46187.44665657407</v>
      </c>
      <c r="B158" s="30">
        <v>0.0</v>
      </c>
      <c r="C158" s="15" t="s">
        <v>172</v>
      </c>
      <c r="D158" s="10">
        <v>46187.0</v>
      </c>
      <c r="E158" s="15" t="s">
        <v>158</v>
      </c>
      <c r="F158" s="15" t="s">
        <v>14</v>
      </c>
      <c r="G158" s="15" t="s">
        <v>123</v>
      </c>
      <c r="H158" s="15" t="s">
        <v>17</v>
      </c>
      <c r="I158" s="17"/>
      <c r="J158" s="15" t="s">
        <v>157</v>
      </c>
    </row>
    <row r="159" ht="22.5" customHeight="1">
      <c r="A159" s="10">
        <v>46187.447151608794</v>
      </c>
      <c r="B159" s="30">
        <v>0.0</v>
      </c>
      <c r="C159" s="15" t="s">
        <v>144</v>
      </c>
      <c r="D159" s="10">
        <v>46187.0</v>
      </c>
      <c r="E159" s="15" t="s">
        <v>158</v>
      </c>
      <c r="F159" s="15" t="s">
        <v>14</v>
      </c>
      <c r="G159" s="15" t="s">
        <v>123</v>
      </c>
      <c r="H159" s="15" t="s">
        <v>17</v>
      </c>
      <c r="I159" s="17"/>
      <c r="J159" s="15" t="s">
        <v>157</v>
      </c>
    </row>
    <row r="160" ht="22.5" customHeight="1">
      <c r="A160" s="10">
        <v>46187.44759228009</v>
      </c>
      <c r="B160" s="30">
        <v>0.0</v>
      </c>
      <c r="C160" s="15" t="s">
        <v>124</v>
      </c>
      <c r="D160" s="10">
        <v>46187.0</v>
      </c>
      <c r="E160" s="15" t="s">
        <v>11</v>
      </c>
      <c r="F160" s="15" t="s">
        <v>14</v>
      </c>
      <c r="G160" s="15" t="s">
        <v>123</v>
      </c>
      <c r="H160" s="15" t="s">
        <v>17</v>
      </c>
      <c r="I160" s="17"/>
      <c r="J160" s="15" t="s">
        <v>157</v>
      </c>
    </row>
    <row r="161" ht="22.5" customHeight="1">
      <c r="A161" s="10">
        <v>46188.72105681713</v>
      </c>
      <c r="B161" s="30">
        <v>0.0</v>
      </c>
      <c r="C161" s="15" t="s">
        <v>152</v>
      </c>
      <c r="D161" s="10">
        <v>46188.0</v>
      </c>
      <c r="E161" s="15" t="s">
        <v>170</v>
      </c>
      <c r="F161" s="15" t="s">
        <v>20</v>
      </c>
      <c r="G161" s="15" t="s">
        <v>123</v>
      </c>
      <c r="H161" s="15" t="s">
        <v>17</v>
      </c>
      <c r="I161" s="17"/>
      <c r="J161" s="15" t="s">
        <v>20</v>
      </c>
    </row>
    <row r="162" ht="22.5" customHeight="1">
      <c r="A162" s="10">
        <v>46188.72490260417</v>
      </c>
      <c r="B162" s="30">
        <v>0.0</v>
      </c>
      <c r="C162" s="15" t="s">
        <v>147</v>
      </c>
      <c r="D162" s="10">
        <v>46188.0</v>
      </c>
      <c r="E162" s="15" t="s">
        <v>26</v>
      </c>
      <c r="F162" s="15" t="s">
        <v>20</v>
      </c>
      <c r="G162" s="15" t="s">
        <v>123</v>
      </c>
      <c r="H162" s="15" t="s">
        <v>17</v>
      </c>
      <c r="I162" s="17"/>
      <c r="J162" s="15" t="s">
        <v>20</v>
      </c>
    </row>
    <row r="163" ht="22.5" customHeight="1">
      <c r="A163" s="10">
        <v>46188.72530914352</v>
      </c>
      <c r="B163" s="30">
        <v>0.0</v>
      </c>
      <c r="C163" s="15" t="s">
        <v>163</v>
      </c>
      <c r="D163" s="10">
        <v>46188.0</v>
      </c>
      <c r="E163" s="15" t="s">
        <v>19</v>
      </c>
      <c r="F163" s="15" t="s">
        <v>20</v>
      </c>
      <c r="G163" s="15" t="s">
        <v>123</v>
      </c>
      <c r="H163" s="15" t="s">
        <v>17</v>
      </c>
      <c r="I163" s="17"/>
      <c r="J163" s="15" t="s">
        <v>20</v>
      </c>
    </row>
    <row r="164" ht="22.5" customHeight="1">
      <c r="A164" s="10">
        <v>46188.72578712963</v>
      </c>
      <c r="B164" s="30">
        <v>0.0</v>
      </c>
      <c r="C164" s="15" t="s">
        <v>139</v>
      </c>
      <c r="D164" s="10">
        <v>46188.0</v>
      </c>
      <c r="E164" s="15" t="s">
        <v>19</v>
      </c>
      <c r="F164" s="15" t="s">
        <v>20</v>
      </c>
      <c r="G164" s="15" t="s">
        <v>123</v>
      </c>
      <c r="H164" s="15" t="s">
        <v>17</v>
      </c>
      <c r="I164" s="17"/>
      <c r="J164" s="15" t="s">
        <v>20</v>
      </c>
    </row>
    <row r="165" ht="22.5" customHeight="1">
      <c r="A165" s="10">
        <v>46188.72722752315</v>
      </c>
      <c r="B165" s="30">
        <v>0.0</v>
      </c>
      <c r="C165" s="15" t="s">
        <v>130</v>
      </c>
      <c r="D165" s="10">
        <v>46188.0</v>
      </c>
      <c r="E165" s="15" t="s">
        <v>19</v>
      </c>
      <c r="F165" s="15" t="s">
        <v>20</v>
      </c>
      <c r="G165" s="15" t="s">
        <v>123</v>
      </c>
      <c r="H165" s="15" t="s">
        <v>17</v>
      </c>
      <c r="I165" s="17"/>
      <c r="J165" s="15" t="s">
        <v>20</v>
      </c>
    </row>
    <row r="166" ht="22.5" customHeight="1">
      <c r="A166" s="10">
        <v>46188.72842663195</v>
      </c>
      <c r="B166" s="30">
        <v>0.0</v>
      </c>
      <c r="C166" s="15" t="s">
        <v>132</v>
      </c>
      <c r="D166" s="10">
        <v>46188.0</v>
      </c>
      <c r="E166" s="15" t="s">
        <v>19</v>
      </c>
      <c r="F166" s="15" t="s">
        <v>58</v>
      </c>
      <c r="G166" s="15" t="s">
        <v>123</v>
      </c>
      <c r="H166" s="15" t="s">
        <v>17</v>
      </c>
      <c r="I166" s="17"/>
      <c r="J166" s="15" t="s">
        <v>157</v>
      </c>
    </row>
    <row r="167" ht="22.5" customHeight="1">
      <c r="A167" s="10">
        <v>46188.729148784725</v>
      </c>
      <c r="B167" s="30">
        <v>0.0</v>
      </c>
      <c r="C167" s="15" t="s">
        <v>144</v>
      </c>
      <c r="D167" s="10">
        <v>46188.0</v>
      </c>
      <c r="E167" s="15" t="s">
        <v>210</v>
      </c>
      <c r="F167" s="15" t="s">
        <v>58</v>
      </c>
      <c r="G167" s="15" t="s">
        <v>123</v>
      </c>
      <c r="H167" s="15" t="s">
        <v>17</v>
      </c>
      <c r="I167" s="17"/>
      <c r="J167" s="15" t="s">
        <v>157</v>
      </c>
    </row>
    <row r="168" ht="22.5" customHeight="1">
      <c r="A168" s="10">
        <v>46188.729675532406</v>
      </c>
      <c r="B168" s="30">
        <v>0.0</v>
      </c>
      <c r="C168" s="15" t="s">
        <v>145</v>
      </c>
      <c r="D168" s="10">
        <v>46188.0</v>
      </c>
      <c r="E168" s="15" t="s">
        <v>16</v>
      </c>
      <c r="F168" s="15" t="s">
        <v>58</v>
      </c>
      <c r="G168" s="15" t="s">
        <v>123</v>
      </c>
      <c r="H168" s="15" t="s">
        <v>17</v>
      </c>
      <c r="I168" s="17"/>
      <c r="J168" s="15" t="s">
        <v>157</v>
      </c>
    </row>
    <row r="169" ht="22.5" customHeight="1">
      <c r="A169" s="10">
        <v>46188.7302703125</v>
      </c>
      <c r="B169" s="30">
        <v>0.0</v>
      </c>
      <c r="C169" s="15" t="s">
        <v>163</v>
      </c>
      <c r="D169" s="10">
        <v>46188.0</v>
      </c>
      <c r="E169" s="15" t="s">
        <v>11</v>
      </c>
      <c r="F169" s="15" t="s">
        <v>20</v>
      </c>
      <c r="G169" s="15" t="s">
        <v>123</v>
      </c>
      <c r="H169" s="15" t="s">
        <v>17</v>
      </c>
      <c r="I169" s="17"/>
      <c r="J169" s="15" t="s">
        <v>20</v>
      </c>
    </row>
    <row r="170" ht="22.5" customHeight="1">
      <c r="A170" s="10">
        <v>46188.73084320602</v>
      </c>
      <c r="B170" s="30">
        <v>0.0</v>
      </c>
      <c r="C170" s="15" t="s">
        <v>163</v>
      </c>
      <c r="D170" s="10">
        <v>46188.0</v>
      </c>
      <c r="E170" s="15" t="s">
        <v>170</v>
      </c>
      <c r="F170" s="15" t="s">
        <v>20</v>
      </c>
      <c r="G170" s="15" t="s">
        <v>123</v>
      </c>
      <c r="H170" s="15" t="s">
        <v>17</v>
      </c>
      <c r="I170" s="17"/>
      <c r="J170" s="15" t="s">
        <v>20</v>
      </c>
    </row>
    <row r="171" ht="22.5" customHeight="1">
      <c r="A171" s="10">
        <v>46188.73128309028</v>
      </c>
      <c r="B171" s="30">
        <v>0.0</v>
      </c>
      <c r="C171" s="15" t="s">
        <v>194</v>
      </c>
      <c r="D171" s="10">
        <v>46188.0</v>
      </c>
      <c r="E171" s="15" t="s">
        <v>36</v>
      </c>
      <c r="F171" s="15" t="s">
        <v>20</v>
      </c>
      <c r="G171" s="15" t="s">
        <v>123</v>
      </c>
      <c r="H171" s="15" t="s">
        <v>17</v>
      </c>
      <c r="I171" s="17"/>
      <c r="J171" s="15" t="s">
        <v>20</v>
      </c>
    </row>
    <row r="172" ht="22.5" customHeight="1">
      <c r="A172" s="10">
        <v>46188.73182743056</v>
      </c>
      <c r="B172" s="30">
        <v>0.0</v>
      </c>
      <c r="C172" s="15" t="s">
        <v>142</v>
      </c>
      <c r="D172" s="10">
        <v>46188.0</v>
      </c>
      <c r="E172" s="15" t="s">
        <v>211</v>
      </c>
      <c r="F172" s="15" t="s">
        <v>43</v>
      </c>
      <c r="G172" s="15" t="s">
        <v>123</v>
      </c>
      <c r="H172" s="15" t="s">
        <v>17</v>
      </c>
      <c r="I172" s="17"/>
      <c r="J172" s="15" t="s">
        <v>157</v>
      </c>
    </row>
    <row r="173" ht="22.5" customHeight="1">
      <c r="A173" s="10">
        <v>46188.73258211806</v>
      </c>
      <c r="B173" s="30">
        <v>0.0</v>
      </c>
      <c r="C173" s="15" t="s">
        <v>154</v>
      </c>
      <c r="D173" s="10">
        <v>46188.0</v>
      </c>
      <c r="E173" s="15" t="s">
        <v>122</v>
      </c>
      <c r="F173" s="15" t="s">
        <v>35</v>
      </c>
      <c r="G173" s="15" t="s">
        <v>123</v>
      </c>
      <c r="H173" s="15" t="s">
        <v>17</v>
      </c>
      <c r="I173" s="17"/>
      <c r="J173" s="15" t="s">
        <v>157</v>
      </c>
    </row>
    <row r="174" ht="22.5" customHeight="1">
      <c r="A174" s="10">
        <v>46188.733046064815</v>
      </c>
      <c r="B174" s="30">
        <v>0.0</v>
      </c>
      <c r="C174" s="15" t="s">
        <v>110</v>
      </c>
      <c r="D174" s="10">
        <v>46188.0</v>
      </c>
      <c r="E174" s="15" t="s">
        <v>19</v>
      </c>
      <c r="F174" s="15" t="s">
        <v>35</v>
      </c>
      <c r="G174" s="15" t="s">
        <v>123</v>
      </c>
      <c r="H174" s="15" t="s">
        <v>17</v>
      </c>
      <c r="I174" s="17"/>
      <c r="J174" s="15" t="s">
        <v>157</v>
      </c>
    </row>
    <row r="175" ht="22.5" customHeight="1">
      <c r="A175" s="10">
        <v>46188.73359434028</v>
      </c>
      <c r="B175" s="30">
        <v>0.0</v>
      </c>
      <c r="C175" s="15" t="s">
        <v>118</v>
      </c>
      <c r="D175" s="10">
        <v>46188.0</v>
      </c>
      <c r="E175" s="15" t="s">
        <v>11</v>
      </c>
      <c r="F175" s="15" t="s">
        <v>35</v>
      </c>
      <c r="G175" s="15" t="s">
        <v>111</v>
      </c>
      <c r="H175" s="15" t="s">
        <v>17</v>
      </c>
      <c r="I175" s="17"/>
      <c r="J175" s="15" t="s">
        <v>157</v>
      </c>
    </row>
    <row r="176" ht="22.5" customHeight="1">
      <c r="A176" s="10">
        <v>46188.73440505787</v>
      </c>
      <c r="B176" s="30">
        <v>0.0</v>
      </c>
      <c r="C176" s="15" t="s">
        <v>191</v>
      </c>
      <c r="D176" s="10">
        <v>46188.0</v>
      </c>
      <c r="E176" s="15" t="s">
        <v>212</v>
      </c>
      <c r="F176" s="15" t="s">
        <v>93</v>
      </c>
      <c r="G176" s="15" t="s">
        <v>111</v>
      </c>
      <c r="H176" s="15" t="s">
        <v>17</v>
      </c>
      <c r="I176" s="17"/>
      <c r="J176" s="15" t="s">
        <v>157</v>
      </c>
    </row>
    <row r="177" ht="22.5" customHeight="1">
      <c r="A177" s="10">
        <v>46188.73600099537</v>
      </c>
      <c r="B177" s="30">
        <v>0.0</v>
      </c>
      <c r="C177" s="15" t="s">
        <v>144</v>
      </c>
      <c r="D177" s="10">
        <v>46188.0</v>
      </c>
      <c r="E177" s="15" t="s">
        <v>19</v>
      </c>
      <c r="F177" s="15" t="s">
        <v>35</v>
      </c>
      <c r="G177" s="15" t="s">
        <v>111</v>
      </c>
      <c r="H177" s="15" t="s">
        <v>17</v>
      </c>
      <c r="I177" s="17"/>
      <c r="J177" s="15" t="s">
        <v>157</v>
      </c>
    </row>
    <row r="178" ht="22.5" customHeight="1">
      <c r="A178" s="10">
        <v>46188.73773271991</v>
      </c>
      <c r="B178" s="30">
        <v>0.0</v>
      </c>
      <c r="C178" s="15" t="s">
        <v>201</v>
      </c>
      <c r="D178" s="10">
        <v>46188.0</v>
      </c>
      <c r="E178" s="15">
        <v>1.0</v>
      </c>
      <c r="F178" s="15" t="s">
        <v>43</v>
      </c>
      <c r="G178" s="15" t="s">
        <v>111</v>
      </c>
      <c r="H178" s="15" t="s">
        <v>17</v>
      </c>
      <c r="I178" s="17"/>
      <c r="J178" s="15" t="s">
        <v>157</v>
      </c>
    </row>
    <row r="179" ht="22.5" customHeight="1">
      <c r="A179" s="10">
        <v>46188.74422078703</v>
      </c>
      <c r="B179" s="30">
        <v>0.0</v>
      </c>
      <c r="C179" s="15" t="s">
        <v>133</v>
      </c>
      <c r="D179" s="10">
        <v>46188.0</v>
      </c>
      <c r="E179" s="15" t="s">
        <v>213</v>
      </c>
      <c r="F179" s="15" t="s">
        <v>135</v>
      </c>
      <c r="G179" s="15" t="s">
        <v>136</v>
      </c>
      <c r="H179" s="15" t="s">
        <v>17</v>
      </c>
      <c r="I179" s="17"/>
      <c r="J179" s="15" t="s">
        <v>157</v>
      </c>
    </row>
    <row r="180" ht="22.5" customHeight="1">
      <c r="A180" s="10">
        <v>46188.74468069444</v>
      </c>
      <c r="B180" s="30">
        <v>0.0</v>
      </c>
      <c r="C180" s="15" t="s">
        <v>133</v>
      </c>
      <c r="D180" s="10">
        <v>46188.0</v>
      </c>
      <c r="E180" s="15" t="s">
        <v>44</v>
      </c>
      <c r="F180" s="15" t="s">
        <v>135</v>
      </c>
      <c r="G180" s="15" t="s">
        <v>136</v>
      </c>
      <c r="H180" s="15" t="s">
        <v>17</v>
      </c>
      <c r="I180" s="17"/>
      <c r="J180" s="15" t="s">
        <v>155</v>
      </c>
    </row>
    <row r="181" ht="22.5" customHeight="1">
      <c r="A181" s="10">
        <v>46189.39024707176</v>
      </c>
      <c r="B181" s="30">
        <v>0.0</v>
      </c>
      <c r="C181" s="15" t="s">
        <v>125</v>
      </c>
      <c r="D181" s="10">
        <v>46189.0</v>
      </c>
      <c r="E181" s="15" t="s">
        <v>29</v>
      </c>
      <c r="F181" s="15" t="s">
        <v>126</v>
      </c>
      <c r="G181" s="15" t="s">
        <v>127</v>
      </c>
      <c r="H181" s="15" t="s">
        <v>17</v>
      </c>
      <c r="I181" s="17"/>
      <c r="J181" s="15" t="s">
        <v>126</v>
      </c>
    </row>
    <row r="182" ht="22.5" customHeight="1">
      <c r="A182" s="10">
        <v>46189.39091084491</v>
      </c>
      <c r="B182" s="30">
        <v>0.0</v>
      </c>
      <c r="C182" s="15" t="s">
        <v>214</v>
      </c>
      <c r="D182" s="10">
        <v>46189.0</v>
      </c>
      <c r="E182" s="15" t="s">
        <v>192</v>
      </c>
      <c r="F182" s="15" t="s">
        <v>126</v>
      </c>
      <c r="G182" s="15" t="s">
        <v>127</v>
      </c>
      <c r="H182" s="15" t="s">
        <v>17</v>
      </c>
      <c r="I182" s="17"/>
      <c r="J182" s="15" t="s">
        <v>126</v>
      </c>
    </row>
    <row r="183" ht="22.5" customHeight="1">
      <c r="A183" s="10">
        <v>46189.39223827547</v>
      </c>
      <c r="B183" s="30">
        <v>0.0</v>
      </c>
      <c r="C183" s="15" t="s">
        <v>133</v>
      </c>
      <c r="D183" s="10">
        <v>46189.0</v>
      </c>
      <c r="E183" s="15" t="s">
        <v>168</v>
      </c>
      <c r="F183" s="15" t="s">
        <v>135</v>
      </c>
      <c r="G183" s="15" t="s">
        <v>136</v>
      </c>
      <c r="H183" s="15" t="s">
        <v>17</v>
      </c>
      <c r="I183" s="17"/>
      <c r="J183" s="15" t="s">
        <v>157</v>
      </c>
    </row>
    <row r="184" ht="22.5" customHeight="1">
      <c r="A184" s="10">
        <v>46189.39330466435</v>
      </c>
      <c r="B184" s="30">
        <v>0.0</v>
      </c>
      <c r="C184" s="15" t="s">
        <v>215</v>
      </c>
      <c r="D184" s="10">
        <v>46189.0</v>
      </c>
      <c r="E184" s="15" t="s">
        <v>216</v>
      </c>
      <c r="F184" s="15" t="s">
        <v>217</v>
      </c>
      <c r="G184" s="15" t="s">
        <v>136</v>
      </c>
      <c r="H184" s="15" t="s">
        <v>17</v>
      </c>
      <c r="I184" s="17"/>
      <c r="J184" s="15" t="s">
        <v>218</v>
      </c>
    </row>
    <row r="185" ht="22.5" customHeight="1">
      <c r="A185" s="10">
        <v>46191.38357962963</v>
      </c>
      <c r="B185" s="30">
        <v>0.0</v>
      </c>
      <c r="C185" s="15" t="s">
        <v>194</v>
      </c>
      <c r="D185" s="10">
        <v>46189.0</v>
      </c>
      <c r="E185" s="15" t="s">
        <v>25</v>
      </c>
      <c r="F185" s="15" t="s">
        <v>20</v>
      </c>
      <c r="G185" s="15" t="s">
        <v>123</v>
      </c>
      <c r="H185" s="15" t="s">
        <v>17</v>
      </c>
      <c r="I185" s="17"/>
      <c r="J185" s="15" t="s">
        <v>20</v>
      </c>
    </row>
    <row r="186" ht="22.5" customHeight="1">
      <c r="A186" s="10">
        <v>46191.38407695602</v>
      </c>
      <c r="B186" s="30">
        <v>0.0</v>
      </c>
      <c r="C186" s="15" t="s">
        <v>139</v>
      </c>
      <c r="D186" s="10">
        <v>46189.0</v>
      </c>
      <c r="E186" s="15" t="s">
        <v>171</v>
      </c>
      <c r="F186" s="15" t="s">
        <v>20</v>
      </c>
      <c r="G186" s="15" t="s">
        <v>123</v>
      </c>
      <c r="H186" s="15" t="s">
        <v>17</v>
      </c>
      <c r="I186" s="17"/>
      <c r="J186" s="15" t="s">
        <v>20</v>
      </c>
    </row>
    <row r="187" ht="22.5" customHeight="1">
      <c r="A187" s="10">
        <v>46191.384551689815</v>
      </c>
      <c r="B187" s="30">
        <v>0.0</v>
      </c>
      <c r="C187" s="15" t="s">
        <v>163</v>
      </c>
      <c r="D187" s="10">
        <v>46189.0</v>
      </c>
      <c r="E187" s="15" t="s">
        <v>171</v>
      </c>
      <c r="F187" s="15" t="s">
        <v>20</v>
      </c>
      <c r="G187" s="15" t="s">
        <v>123</v>
      </c>
      <c r="H187" s="15" t="s">
        <v>17</v>
      </c>
      <c r="I187" s="17"/>
      <c r="J187" s="15" t="s">
        <v>20</v>
      </c>
    </row>
    <row r="188" ht="22.5" customHeight="1">
      <c r="A188" s="10">
        <v>46191.385176192125</v>
      </c>
      <c r="B188" s="30">
        <v>0.0</v>
      </c>
      <c r="C188" s="15" t="s">
        <v>219</v>
      </c>
      <c r="D188" s="10">
        <v>46189.0</v>
      </c>
      <c r="E188" s="15">
        <v>120.0</v>
      </c>
      <c r="F188" s="15" t="s">
        <v>14</v>
      </c>
      <c r="G188" s="15" t="s">
        <v>123</v>
      </c>
      <c r="H188" s="15" t="s">
        <v>17</v>
      </c>
      <c r="I188" s="17"/>
      <c r="J188" s="15" t="s">
        <v>157</v>
      </c>
    </row>
    <row r="189" ht="22.5" customHeight="1">
      <c r="A189" s="10">
        <v>46191.385730567126</v>
      </c>
      <c r="B189" s="30">
        <v>0.0</v>
      </c>
      <c r="C189" s="15" t="s">
        <v>110</v>
      </c>
      <c r="D189" s="10">
        <v>46189.0</v>
      </c>
      <c r="E189" s="15" t="s">
        <v>63</v>
      </c>
      <c r="F189" s="15" t="s">
        <v>14</v>
      </c>
      <c r="G189" s="15" t="s">
        <v>123</v>
      </c>
      <c r="H189" s="15" t="s">
        <v>17</v>
      </c>
      <c r="I189" s="17"/>
      <c r="J189" s="15" t="s">
        <v>157</v>
      </c>
    </row>
    <row r="190" ht="22.5" customHeight="1">
      <c r="A190" s="10">
        <v>46191.38625916667</v>
      </c>
      <c r="B190" s="30">
        <v>0.0</v>
      </c>
      <c r="C190" s="15" t="s">
        <v>200</v>
      </c>
      <c r="D190" s="10">
        <v>46189.0</v>
      </c>
      <c r="E190" s="15" t="s">
        <v>11</v>
      </c>
      <c r="F190" s="15" t="s">
        <v>43</v>
      </c>
      <c r="G190" s="15" t="s">
        <v>123</v>
      </c>
      <c r="H190" s="15" t="s">
        <v>17</v>
      </c>
      <c r="I190" s="17"/>
      <c r="J190" s="15" t="s">
        <v>157</v>
      </c>
    </row>
    <row r="191" ht="22.5" customHeight="1">
      <c r="A191" s="10">
        <v>46191.3870872338</v>
      </c>
      <c r="B191" s="30">
        <v>0.0</v>
      </c>
      <c r="C191" s="15" t="s">
        <v>119</v>
      </c>
      <c r="D191" s="10">
        <v>46189.0</v>
      </c>
      <c r="E191" s="15" t="s">
        <v>11</v>
      </c>
      <c r="F191" s="15" t="s">
        <v>14</v>
      </c>
      <c r="G191" s="15" t="s">
        <v>123</v>
      </c>
      <c r="H191" s="15" t="s">
        <v>17</v>
      </c>
      <c r="I191" s="17"/>
      <c r="J191" s="15" t="s">
        <v>157</v>
      </c>
    </row>
    <row r="192" ht="22.5" customHeight="1">
      <c r="A192" s="10">
        <v>46191.38792262731</v>
      </c>
      <c r="B192" s="30">
        <v>0.0</v>
      </c>
      <c r="C192" s="15" t="s">
        <v>130</v>
      </c>
      <c r="D192" s="10">
        <v>46189.0</v>
      </c>
      <c r="E192" s="15" t="s">
        <v>64</v>
      </c>
      <c r="F192" s="15" t="s">
        <v>20</v>
      </c>
      <c r="G192" s="15" t="s">
        <v>123</v>
      </c>
      <c r="H192" s="15" t="s">
        <v>17</v>
      </c>
      <c r="I192" s="17"/>
      <c r="J192" s="15" t="s">
        <v>20</v>
      </c>
    </row>
    <row r="193" ht="22.5" customHeight="1">
      <c r="A193" s="10">
        <v>46191.38846827546</v>
      </c>
      <c r="B193" s="30">
        <v>0.0</v>
      </c>
      <c r="C193" s="15" t="s">
        <v>220</v>
      </c>
      <c r="D193" s="10">
        <v>46189.0</v>
      </c>
      <c r="E193" s="15" t="s">
        <v>16</v>
      </c>
      <c r="F193" s="15" t="s">
        <v>20</v>
      </c>
      <c r="G193" s="15" t="s">
        <v>123</v>
      </c>
      <c r="H193" s="15" t="s">
        <v>17</v>
      </c>
      <c r="I193" s="17"/>
      <c r="J193" s="15" t="s">
        <v>20</v>
      </c>
    </row>
    <row r="194" ht="22.5" customHeight="1">
      <c r="A194" s="10">
        <v>46191.392724143516</v>
      </c>
      <c r="B194" s="30">
        <v>0.0</v>
      </c>
      <c r="C194" s="15" t="s">
        <v>142</v>
      </c>
      <c r="D194" s="10">
        <v>46189.0</v>
      </c>
      <c r="E194" s="15" t="s">
        <v>221</v>
      </c>
      <c r="F194" s="15" t="s">
        <v>43</v>
      </c>
      <c r="G194" s="15" t="s">
        <v>123</v>
      </c>
      <c r="H194" s="15" t="s">
        <v>17</v>
      </c>
      <c r="I194" s="17"/>
      <c r="J194" s="15" t="s">
        <v>151</v>
      </c>
    </row>
    <row r="195" ht="22.5" customHeight="1">
      <c r="A195" s="10">
        <v>46191.39348774306</v>
      </c>
      <c r="B195" s="30">
        <v>0.0</v>
      </c>
      <c r="C195" s="15" t="s">
        <v>154</v>
      </c>
      <c r="D195" s="10">
        <v>46189.0</v>
      </c>
      <c r="E195" s="15" t="s">
        <v>64</v>
      </c>
      <c r="F195" s="15" t="s">
        <v>93</v>
      </c>
      <c r="G195" s="15" t="s">
        <v>111</v>
      </c>
      <c r="H195" s="15" t="s">
        <v>17</v>
      </c>
      <c r="I195" s="17"/>
      <c r="J195" s="15" t="s">
        <v>157</v>
      </c>
    </row>
    <row r="196" ht="22.5" customHeight="1">
      <c r="A196" s="10">
        <v>46191.39476709491</v>
      </c>
      <c r="B196" s="30">
        <v>0.0</v>
      </c>
      <c r="C196" s="15" t="s">
        <v>110</v>
      </c>
      <c r="D196" s="10">
        <v>46189.0</v>
      </c>
      <c r="E196" s="15" t="s">
        <v>19</v>
      </c>
      <c r="F196" s="15" t="s">
        <v>93</v>
      </c>
      <c r="G196" s="15" t="s">
        <v>111</v>
      </c>
      <c r="H196" s="15" t="s">
        <v>17</v>
      </c>
      <c r="I196" s="17"/>
      <c r="J196" s="15" t="s">
        <v>157</v>
      </c>
    </row>
    <row r="197" ht="22.5" customHeight="1">
      <c r="A197" s="10">
        <v>46191.39533625</v>
      </c>
      <c r="B197" s="30">
        <v>0.0</v>
      </c>
      <c r="C197" s="15" t="s">
        <v>116</v>
      </c>
      <c r="D197" s="10">
        <v>46189.0</v>
      </c>
      <c r="E197" s="15" t="s">
        <v>16</v>
      </c>
      <c r="F197" s="15" t="s">
        <v>93</v>
      </c>
      <c r="G197" s="15" t="s">
        <v>111</v>
      </c>
      <c r="H197" s="15" t="s">
        <v>17</v>
      </c>
      <c r="I197" s="17"/>
      <c r="J197" s="15" t="s">
        <v>157</v>
      </c>
    </row>
    <row r="198" ht="22.5" customHeight="1">
      <c r="A198" s="10">
        <v>46191.395768159724</v>
      </c>
      <c r="B198" s="30">
        <v>0.0</v>
      </c>
      <c r="C198" s="15" t="s">
        <v>118</v>
      </c>
      <c r="D198" s="10">
        <v>46189.0</v>
      </c>
      <c r="E198" s="15" t="s">
        <v>33</v>
      </c>
      <c r="F198" s="15" t="s">
        <v>93</v>
      </c>
      <c r="G198" s="15" t="s">
        <v>111</v>
      </c>
      <c r="H198" s="15" t="s">
        <v>17</v>
      </c>
      <c r="I198" s="17"/>
      <c r="J198" s="15" t="s">
        <v>157</v>
      </c>
    </row>
    <row r="199" ht="22.5" customHeight="1">
      <c r="A199" s="10">
        <v>46191.39648314815</v>
      </c>
      <c r="B199" s="30">
        <v>0.0</v>
      </c>
      <c r="C199" s="15" t="s">
        <v>162</v>
      </c>
      <c r="D199" s="10">
        <v>46189.0</v>
      </c>
      <c r="E199" s="15" t="s">
        <v>33</v>
      </c>
      <c r="F199" s="15" t="s">
        <v>43</v>
      </c>
      <c r="G199" s="15" t="s">
        <v>111</v>
      </c>
      <c r="H199" s="15" t="s">
        <v>17</v>
      </c>
      <c r="I199" s="17"/>
      <c r="J199" s="15" t="s">
        <v>157</v>
      </c>
    </row>
    <row r="200" ht="22.5" customHeight="1">
      <c r="A200" s="10">
        <v>46191.397311215274</v>
      </c>
      <c r="B200" s="30">
        <v>0.0</v>
      </c>
      <c r="C200" s="15" t="s">
        <v>196</v>
      </c>
      <c r="D200" s="10">
        <v>46189.0</v>
      </c>
      <c r="E200" s="15">
        <v>1.0</v>
      </c>
      <c r="F200" s="15" t="s">
        <v>35</v>
      </c>
      <c r="G200" s="15" t="s">
        <v>111</v>
      </c>
      <c r="H200" s="15" t="s">
        <v>17</v>
      </c>
      <c r="I200" s="17"/>
      <c r="J200" s="15" t="s">
        <v>157</v>
      </c>
    </row>
    <row r="201" ht="22.5" customHeight="1">
      <c r="A201" s="10">
        <v>46191.39809390046</v>
      </c>
      <c r="B201" s="30">
        <v>0.0</v>
      </c>
      <c r="C201" s="15" t="s">
        <v>172</v>
      </c>
      <c r="D201" s="10">
        <v>46189.0</v>
      </c>
      <c r="E201" s="15">
        <v>1.0</v>
      </c>
      <c r="F201" s="15" t="s">
        <v>35</v>
      </c>
      <c r="G201" s="15" t="s">
        <v>111</v>
      </c>
      <c r="H201" s="15" t="s">
        <v>17</v>
      </c>
      <c r="I201" s="17"/>
      <c r="J201" s="15" t="s">
        <v>157</v>
      </c>
    </row>
    <row r="202" ht="22.5" customHeight="1">
      <c r="A202" s="10">
        <v>46191.398546516204</v>
      </c>
      <c r="B202" s="30">
        <v>0.0</v>
      </c>
      <c r="C202" s="15" t="s">
        <v>161</v>
      </c>
      <c r="D202" s="10">
        <v>46189.0</v>
      </c>
      <c r="E202" s="15">
        <v>1.0</v>
      </c>
      <c r="F202" s="15" t="s">
        <v>43</v>
      </c>
      <c r="G202" s="15" t="s">
        <v>111</v>
      </c>
      <c r="H202" s="15" t="s">
        <v>17</v>
      </c>
      <c r="I202" s="17"/>
      <c r="J202" s="15" t="s">
        <v>157</v>
      </c>
    </row>
    <row r="203" ht="22.5" customHeight="1">
      <c r="A203" s="10">
        <v>46191.39904322917</v>
      </c>
      <c r="B203" s="30">
        <v>0.0</v>
      </c>
      <c r="C203" s="15" t="s">
        <v>201</v>
      </c>
      <c r="D203" s="10">
        <v>46189.0</v>
      </c>
      <c r="E203" s="15">
        <v>1.0</v>
      </c>
      <c r="F203" s="15" t="s">
        <v>43</v>
      </c>
      <c r="G203" s="15" t="s">
        <v>111</v>
      </c>
      <c r="H203" s="15" t="s">
        <v>17</v>
      </c>
      <c r="I203" s="17"/>
      <c r="J203" s="15" t="s">
        <v>157</v>
      </c>
    </row>
    <row r="204" ht="22.5" customHeight="1">
      <c r="A204" s="10">
        <v>46191.399596539355</v>
      </c>
      <c r="B204" s="30">
        <v>0.0</v>
      </c>
      <c r="C204" s="15" t="s">
        <v>120</v>
      </c>
      <c r="D204" s="10">
        <v>46189.0</v>
      </c>
      <c r="E204" s="15" t="s">
        <v>216</v>
      </c>
      <c r="F204" s="15" t="s">
        <v>35</v>
      </c>
      <c r="G204" s="15" t="s">
        <v>111</v>
      </c>
      <c r="H204" s="15" t="s">
        <v>17</v>
      </c>
      <c r="I204" s="17"/>
      <c r="J204" s="15" t="s">
        <v>157</v>
      </c>
    </row>
    <row r="205" ht="22.5" customHeight="1">
      <c r="A205" s="10">
        <v>46191.40096803241</v>
      </c>
      <c r="B205" s="30">
        <v>0.0</v>
      </c>
      <c r="C205" s="15" t="s">
        <v>138</v>
      </c>
      <c r="D205" s="10">
        <v>46189.0</v>
      </c>
      <c r="E205" s="15" t="s">
        <v>26</v>
      </c>
      <c r="F205" s="15" t="s">
        <v>20</v>
      </c>
      <c r="G205" s="15" t="s">
        <v>123</v>
      </c>
      <c r="H205" s="15" t="s">
        <v>17</v>
      </c>
      <c r="I205" s="17"/>
      <c r="J205" s="15" t="s">
        <v>20</v>
      </c>
    </row>
    <row r="206" ht="22.5" customHeight="1">
      <c r="A206" s="10">
        <v>46191.40191263889</v>
      </c>
      <c r="B206" s="30">
        <v>0.0</v>
      </c>
      <c r="C206" s="15" t="s">
        <v>139</v>
      </c>
      <c r="D206" s="10">
        <v>46189.0</v>
      </c>
      <c r="E206" s="15">
        <v>1.0</v>
      </c>
      <c r="F206" s="15" t="s">
        <v>20</v>
      </c>
      <c r="G206" s="15" t="s">
        <v>123</v>
      </c>
      <c r="H206" s="15" t="s">
        <v>17</v>
      </c>
      <c r="I206" s="17"/>
      <c r="J206" s="15" t="s">
        <v>20</v>
      </c>
    </row>
    <row r="207" ht="22.5" customHeight="1">
      <c r="A207" s="10">
        <v>46191.49358815972</v>
      </c>
      <c r="B207" s="30">
        <v>0.0</v>
      </c>
      <c r="C207" s="15" t="s">
        <v>163</v>
      </c>
      <c r="D207" s="10">
        <v>46190.0</v>
      </c>
      <c r="E207" s="15" t="s">
        <v>19</v>
      </c>
      <c r="F207" s="15" t="s">
        <v>20</v>
      </c>
      <c r="G207" s="15" t="s">
        <v>123</v>
      </c>
      <c r="H207" s="15" t="s">
        <v>17</v>
      </c>
      <c r="I207" s="17"/>
      <c r="J207" s="15" t="s">
        <v>20</v>
      </c>
    </row>
    <row r="208" ht="22.5" customHeight="1">
      <c r="A208" s="10">
        <v>46191.49425859954</v>
      </c>
      <c r="B208" s="30">
        <v>0.0</v>
      </c>
      <c r="C208" s="15" t="s">
        <v>119</v>
      </c>
      <c r="D208" s="10">
        <v>46190.0</v>
      </c>
      <c r="E208" s="15" t="s">
        <v>19</v>
      </c>
      <c r="F208" s="15" t="s">
        <v>14</v>
      </c>
      <c r="G208" s="15" t="s">
        <v>123</v>
      </c>
      <c r="H208" s="15" t="s">
        <v>17</v>
      </c>
      <c r="I208" s="17"/>
      <c r="J208" s="15" t="s">
        <v>157</v>
      </c>
    </row>
    <row r="209" ht="22.5" customHeight="1">
      <c r="A209" s="10">
        <v>46191.494644861115</v>
      </c>
      <c r="B209" s="30">
        <v>0.0</v>
      </c>
      <c r="C209" s="15" t="s">
        <v>199</v>
      </c>
      <c r="D209" s="10">
        <v>46190.0</v>
      </c>
      <c r="E209" s="15" t="s">
        <v>33</v>
      </c>
      <c r="F209" s="15" t="s">
        <v>14</v>
      </c>
      <c r="G209" s="15" t="s">
        <v>123</v>
      </c>
      <c r="H209" s="15" t="s">
        <v>17</v>
      </c>
      <c r="I209" s="17"/>
      <c r="J209" s="15" t="s">
        <v>157</v>
      </c>
    </row>
    <row r="210" ht="22.5" customHeight="1">
      <c r="A210" s="10">
        <v>46191.49518225694</v>
      </c>
      <c r="B210" s="30">
        <v>0.0</v>
      </c>
      <c r="C210" s="15" t="s">
        <v>172</v>
      </c>
      <c r="D210" s="10">
        <v>46190.0</v>
      </c>
      <c r="E210" s="15" t="s">
        <v>146</v>
      </c>
      <c r="F210" s="15" t="s">
        <v>14</v>
      </c>
      <c r="G210" s="15" t="s">
        <v>123</v>
      </c>
      <c r="H210" s="15" t="s">
        <v>17</v>
      </c>
      <c r="I210" s="17"/>
      <c r="J210" s="15" t="s">
        <v>157</v>
      </c>
    </row>
    <row r="211" ht="22.5" customHeight="1">
      <c r="A211" s="10">
        <v>46191.49580542824</v>
      </c>
      <c r="B211" s="30">
        <v>0.0</v>
      </c>
      <c r="C211" s="15" t="s">
        <v>144</v>
      </c>
      <c r="D211" s="10">
        <v>46190.0</v>
      </c>
      <c r="E211" s="15" t="s">
        <v>16</v>
      </c>
      <c r="F211" s="15" t="s">
        <v>14</v>
      </c>
      <c r="G211" s="15" t="s">
        <v>123</v>
      </c>
      <c r="H211" s="15" t="s">
        <v>17</v>
      </c>
      <c r="I211" s="17"/>
      <c r="J211" s="15" t="s">
        <v>157</v>
      </c>
    </row>
    <row r="212" ht="22.5" customHeight="1">
      <c r="A212" s="10">
        <v>46191.49629582176</v>
      </c>
      <c r="B212" s="30">
        <v>0.0</v>
      </c>
      <c r="C212" s="15" t="s">
        <v>124</v>
      </c>
      <c r="D212" s="10">
        <v>46190.0</v>
      </c>
      <c r="E212" s="15" t="s">
        <v>222</v>
      </c>
      <c r="F212" s="15" t="s">
        <v>14</v>
      </c>
      <c r="G212" s="15" t="s">
        <v>123</v>
      </c>
      <c r="H212" s="15" t="s">
        <v>17</v>
      </c>
      <c r="I212" s="17"/>
      <c r="J212" s="15" t="s">
        <v>157</v>
      </c>
    </row>
    <row r="213" ht="22.5" customHeight="1">
      <c r="A213" s="10">
        <v>46191.49883253472</v>
      </c>
      <c r="B213" s="30">
        <v>0.0</v>
      </c>
      <c r="C213" s="15" t="s">
        <v>150</v>
      </c>
      <c r="D213" s="10">
        <v>46190.0</v>
      </c>
      <c r="E213" s="15" t="s">
        <v>83</v>
      </c>
      <c r="F213" s="15" t="s">
        <v>35</v>
      </c>
      <c r="G213" s="15" t="s">
        <v>123</v>
      </c>
      <c r="H213" s="15" t="s">
        <v>17</v>
      </c>
      <c r="I213" s="17"/>
      <c r="J213" s="15" t="s">
        <v>157</v>
      </c>
    </row>
    <row r="214" ht="22.5" customHeight="1">
      <c r="A214" s="10">
        <v>46191.49956790509</v>
      </c>
      <c r="B214" s="30">
        <v>0.0</v>
      </c>
      <c r="C214" s="15" t="s">
        <v>133</v>
      </c>
      <c r="D214" s="10">
        <v>46189.0</v>
      </c>
      <c r="E214" s="17"/>
      <c r="F214" s="15" t="s">
        <v>135</v>
      </c>
      <c r="G214" s="15" t="s">
        <v>136</v>
      </c>
      <c r="H214" s="15" t="s">
        <v>17</v>
      </c>
      <c r="I214" s="17"/>
      <c r="J214" s="15" t="s">
        <v>157</v>
      </c>
    </row>
    <row r="215" ht="22.5" customHeight="1">
      <c r="A215" s="10">
        <v>46191.50008542824</v>
      </c>
      <c r="B215" s="30">
        <v>0.0</v>
      </c>
      <c r="C215" s="15" t="s">
        <v>133</v>
      </c>
      <c r="D215" s="10">
        <v>46189.0</v>
      </c>
      <c r="E215" s="15" t="s">
        <v>44</v>
      </c>
      <c r="F215" s="15" t="s">
        <v>135</v>
      </c>
      <c r="G215" s="15" t="s">
        <v>136</v>
      </c>
      <c r="H215" s="15" t="s">
        <v>17</v>
      </c>
      <c r="I215" s="17"/>
      <c r="J215" s="15" t="s">
        <v>155</v>
      </c>
    </row>
    <row r="216" ht="22.5" customHeight="1">
      <c r="A216" s="10">
        <v>46191.500448506944</v>
      </c>
      <c r="B216" s="30">
        <v>0.0</v>
      </c>
      <c r="C216" s="15" t="s">
        <v>133</v>
      </c>
      <c r="D216" s="10">
        <v>46190.0</v>
      </c>
      <c r="E216" s="15" t="s">
        <v>195</v>
      </c>
      <c r="F216" s="15" t="s">
        <v>135</v>
      </c>
      <c r="G216" s="15" t="s">
        <v>136</v>
      </c>
      <c r="H216" s="15" t="s">
        <v>17</v>
      </c>
      <c r="I216" s="17"/>
      <c r="J216" s="15" t="s">
        <v>157</v>
      </c>
    </row>
    <row r="217" ht="22.5" customHeight="1">
      <c r="A217" s="10">
        <v>46191.500822256945</v>
      </c>
      <c r="B217" s="30">
        <v>0.0</v>
      </c>
      <c r="C217" s="15" t="s">
        <v>133</v>
      </c>
      <c r="D217" s="10">
        <v>46190.0</v>
      </c>
      <c r="E217" s="15" t="s">
        <v>223</v>
      </c>
      <c r="F217" s="15" t="s">
        <v>135</v>
      </c>
      <c r="G217" s="15" t="s">
        <v>136</v>
      </c>
      <c r="H217" s="15" t="s">
        <v>17</v>
      </c>
      <c r="I217" s="17"/>
      <c r="J217" s="15" t="s">
        <v>155</v>
      </c>
    </row>
    <row r="218" ht="22.5" customHeight="1">
      <c r="A218" s="18">
        <v>46191.50242391204</v>
      </c>
      <c r="B218" s="34">
        <v>0.0</v>
      </c>
      <c r="C218" s="19" t="s">
        <v>133</v>
      </c>
      <c r="D218" s="35">
        <v>46191.0</v>
      </c>
      <c r="E218" s="19" t="s">
        <v>195</v>
      </c>
      <c r="F218" s="19" t="s">
        <v>135</v>
      </c>
      <c r="G218" s="19" t="s">
        <v>224</v>
      </c>
      <c r="H218" s="19" t="s">
        <v>17</v>
      </c>
      <c r="J218" s="19" t="s">
        <v>157</v>
      </c>
    </row>
    <row r="219" ht="22.5" customHeight="1">
      <c r="A219" s="18">
        <v>46191.50358697917</v>
      </c>
      <c r="B219" s="34">
        <v>0.0</v>
      </c>
      <c r="C219" s="19" t="s">
        <v>133</v>
      </c>
      <c r="D219" s="35">
        <v>46191.0</v>
      </c>
      <c r="E219" s="19" t="s">
        <v>59</v>
      </c>
      <c r="F219" s="19" t="s">
        <v>20</v>
      </c>
      <c r="G219" s="19" t="s">
        <v>123</v>
      </c>
      <c r="H219" s="19" t="s">
        <v>17</v>
      </c>
      <c r="J219" s="19" t="s">
        <v>20</v>
      </c>
    </row>
    <row r="220" ht="22.5" customHeight="1">
      <c r="A220" s="18">
        <v>46191.50663105324</v>
      </c>
      <c r="B220" s="34">
        <v>0.0</v>
      </c>
      <c r="C220" s="19" t="s">
        <v>110</v>
      </c>
      <c r="D220" s="35">
        <v>46191.0</v>
      </c>
      <c r="E220" s="19" t="s">
        <v>94</v>
      </c>
      <c r="F220" s="19" t="s">
        <v>35</v>
      </c>
      <c r="G220" s="19" t="s">
        <v>123</v>
      </c>
      <c r="H220" s="19" t="s">
        <v>17</v>
      </c>
      <c r="J220" s="19" t="s">
        <v>20</v>
      </c>
    </row>
    <row r="221" ht="22.5" customHeight="1">
      <c r="A221" s="18">
        <v>46191.5073362963</v>
      </c>
      <c r="B221" s="34">
        <v>0.0</v>
      </c>
      <c r="C221" s="19" t="s">
        <v>118</v>
      </c>
      <c r="D221" s="35">
        <v>46191.0</v>
      </c>
      <c r="E221" s="19" t="s">
        <v>75</v>
      </c>
      <c r="F221" s="19" t="s">
        <v>20</v>
      </c>
      <c r="G221" s="19" t="s">
        <v>123</v>
      </c>
      <c r="H221" s="19" t="s">
        <v>17</v>
      </c>
      <c r="J221" s="19" t="s">
        <v>20</v>
      </c>
    </row>
    <row r="222" ht="22.5" customHeight="1">
      <c r="A222" s="18">
        <v>46191.509104004625</v>
      </c>
      <c r="B222" s="34">
        <v>0.0</v>
      </c>
      <c r="C222" s="19" t="s">
        <v>110</v>
      </c>
      <c r="D222" s="35">
        <v>46191.0</v>
      </c>
      <c r="E222" s="19" t="s">
        <v>83</v>
      </c>
      <c r="F222" s="19" t="s">
        <v>20</v>
      </c>
      <c r="G222" s="19" t="s">
        <v>123</v>
      </c>
      <c r="H222" s="19" t="s">
        <v>17</v>
      </c>
      <c r="J222" s="19" t="s">
        <v>20</v>
      </c>
    </row>
    <row r="223" ht="22.5" customHeight="1">
      <c r="A223" s="18">
        <v>46191.50954626157</v>
      </c>
      <c r="B223" s="34">
        <v>0.0</v>
      </c>
      <c r="C223" s="19" t="s">
        <v>124</v>
      </c>
      <c r="D223" s="35">
        <v>46191.0</v>
      </c>
      <c r="E223" s="19" t="s">
        <v>75</v>
      </c>
      <c r="F223" s="19" t="s">
        <v>35</v>
      </c>
      <c r="G223" s="19" t="s">
        <v>123</v>
      </c>
      <c r="H223" s="19" t="s">
        <v>17</v>
      </c>
      <c r="J223" s="19" t="s">
        <v>157</v>
      </c>
    </row>
    <row r="224" ht="22.5" customHeight="1">
      <c r="A224" s="18">
        <v>46191.51011869213</v>
      </c>
      <c r="B224" s="34">
        <v>0.0</v>
      </c>
      <c r="C224" s="19" t="s">
        <v>154</v>
      </c>
      <c r="D224" s="35">
        <v>46191.0</v>
      </c>
      <c r="E224" s="19" t="s">
        <v>203</v>
      </c>
      <c r="F224" s="19" t="s">
        <v>35</v>
      </c>
      <c r="G224" s="19" t="s">
        <v>111</v>
      </c>
      <c r="H224" s="19" t="s">
        <v>17</v>
      </c>
    </row>
    <row r="225" ht="22.5" customHeight="1">
      <c r="A225" s="18">
        <v>46191.51060559027</v>
      </c>
      <c r="B225" s="34">
        <v>0.0</v>
      </c>
      <c r="C225" s="19" t="s">
        <v>110</v>
      </c>
      <c r="D225" s="35">
        <v>46191.0</v>
      </c>
      <c r="E225" s="19" t="s">
        <v>94</v>
      </c>
      <c r="F225" s="19" t="s">
        <v>35</v>
      </c>
      <c r="G225" s="19" t="s">
        <v>111</v>
      </c>
      <c r="H225" s="19" t="s">
        <v>17</v>
      </c>
      <c r="J225" s="19" t="s">
        <v>157</v>
      </c>
    </row>
    <row r="226" ht="22.5" customHeight="1">
      <c r="A226" s="18">
        <v>46191.51124150463</v>
      </c>
      <c r="B226" s="34">
        <v>0.0</v>
      </c>
      <c r="C226" s="19" t="s">
        <v>161</v>
      </c>
      <c r="D226" s="35">
        <v>46191.0</v>
      </c>
      <c r="E226" s="19" t="s">
        <v>94</v>
      </c>
      <c r="F226" s="19" t="s">
        <v>43</v>
      </c>
      <c r="G226" s="19" t="s">
        <v>111</v>
      </c>
      <c r="H226" s="19" t="s">
        <v>17</v>
      </c>
      <c r="J226" s="19" t="s">
        <v>157</v>
      </c>
    </row>
    <row r="227" ht="22.5" customHeight="1">
      <c r="A227" s="18">
        <v>46191.51167559028</v>
      </c>
      <c r="B227" s="34">
        <v>0.0</v>
      </c>
      <c r="C227" s="19" t="s">
        <v>201</v>
      </c>
      <c r="D227" s="35">
        <v>46191.0</v>
      </c>
      <c r="E227" s="19" t="s">
        <v>94</v>
      </c>
      <c r="F227" s="19" t="s">
        <v>43</v>
      </c>
      <c r="G227" s="19" t="s">
        <v>111</v>
      </c>
      <c r="H227" s="19" t="s">
        <v>17</v>
      </c>
      <c r="J227" s="19" t="s">
        <v>157</v>
      </c>
    </row>
    <row r="228" ht="22.5" customHeight="1">
      <c r="A228" s="18">
        <v>46191.51214986111</v>
      </c>
      <c r="B228" s="34">
        <v>0.0</v>
      </c>
      <c r="C228" s="19" t="s">
        <v>124</v>
      </c>
      <c r="D228" s="35">
        <v>46191.0</v>
      </c>
      <c r="E228" s="19" t="s">
        <v>75</v>
      </c>
      <c r="F228" s="19" t="s">
        <v>43</v>
      </c>
      <c r="G228" s="19" t="s">
        <v>111</v>
      </c>
      <c r="H228" s="19" t="s">
        <v>17</v>
      </c>
      <c r="J228" s="19" t="s">
        <v>157</v>
      </c>
    </row>
    <row r="229" ht="22.5" customHeight="1">
      <c r="A229" s="18">
        <v>46191.513088576394</v>
      </c>
      <c r="B229" s="34">
        <v>0.0</v>
      </c>
      <c r="C229" s="19" t="s">
        <v>118</v>
      </c>
      <c r="D229" s="35">
        <v>46191.0</v>
      </c>
      <c r="E229" s="19" t="s">
        <v>83</v>
      </c>
      <c r="F229" s="19" t="s">
        <v>60</v>
      </c>
      <c r="G229" s="19" t="s">
        <v>111</v>
      </c>
      <c r="H229" s="19" t="s">
        <v>17</v>
      </c>
      <c r="J229" s="19" t="s">
        <v>157</v>
      </c>
    </row>
    <row r="230" ht="22.5" customHeight="1">
      <c r="A230" s="18">
        <v>46191.51377734954</v>
      </c>
      <c r="B230" s="34">
        <v>0.0</v>
      </c>
      <c r="C230" s="19" t="s">
        <v>139</v>
      </c>
      <c r="D230" s="35">
        <v>46191.0</v>
      </c>
      <c r="E230" s="19" t="s">
        <v>83</v>
      </c>
      <c r="F230" s="19" t="s">
        <v>43</v>
      </c>
      <c r="G230" s="19" t="s">
        <v>111</v>
      </c>
      <c r="H230" s="19" t="s">
        <v>17</v>
      </c>
      <c r="J230" s="19" t="s">
        <v>157</v>
      </c>
    </row>
    <row r="231" ht="22.5" customHeight="1">
      <c r="A231" s="18">
        <v>46191.514643981485</v>
      </c>
      <c r="B231" s="34">
        <v>0.0</v>
      </c>
      <c r="C231" s="19" t="s">
        <v>215</v>
      </c>
      <c r="D231" s="35">
        <v>46191.0</v>
      </c>
      <c r="E231" s="19" t="s">
        <v>158</v>
      </c>
      <c r="F231" s="19" t="s">
        <v>217</v>
      </c>
      <c r="G231" s="19" t="s">
        <v>127</v>
      </c>
      <c r="H231" s="19" t="s">
        <v>17</v>
      </c>
      <c r="J231" s="19" t="s">
        <v>218</v>
      </c>
    </row>
    <row r="232" ht="22.5" customHeight="1">
      <c r="A232" s="18">
        <v>46192.405226874995</v>
      </c>
      <c r="B232" s="34">
        <v>0.0</v>
      </c>
      <c r="C232" s="19" t="s">
        <v>133</v>
      </c>
      <c r="D232" s="35">
        <v>46191.0</v>
      </c>
      <c r="E232" s="19" t="s">
        <v>90</v>
      </c>
      <c r="F232" s="19" t="s">
        <v>135</v>
      </c>
      <c r="G232" s="19" t="s">
        <v>136</v>
      </c>
      <c r="H232" s="19" t="s">
        <v>17</v>
      </c>
      <c r="J232" s="19" t="s">
        <v>155</v>
      </c>
    </row>
    <row r="233" ht="22.5" customHeight="1">
      <c r="A233" s="18">
        <v>46194.44041429398</v>
      </c>
      <c r="B233" s="34">
        <v>0.0</v>
      </c>
      <c r="C233" s="19" t="s">
        <v>182</v>
      </c>
      <c r="D233" s="35">
        <v>46194.0</v>
      </c>
      <c r="E233" s="19" t="s">
        <v>225</v>
      </c>
      <c r="F233" s="19" t="s">
        <v>45</v>
      </c>
      <c r="G233" s="19" t="s">
        <v>111</v>
      </c>
      <c r="H233" s="19" t="s">
        <v>17</v>
      </c>
      <c r="J233" s="19" t="s">
        <v>157</v>
      </c>
    </row>
    <row r="234" ht="22.5" customHeight="1">
      <c r="A234" s="18">
        <v>46194.44401167824</v>
      </c>
      <c r="B234" s="34">
        <v>0.0</v>
      </c>
      <c r="C234" s="19" t="s">
        <v>152</v>
      </c>
      <c r="D234" s="35">
        <v>46193.0</v>
      </c>
      <c r="E234" s="19" t="s">
        <v>226</v>
      </c>
      <c r="F234" s="19" t="s">
        <v>20</v>
      </c>
      <c r="G234" s="19" t="s">
        <v>123</v>
      </c>
      <c r="H234" s="19" t="s">
        <v>17</v>
      </c>
      <c r="J234" s="19" t="s">
        <v>20</v>
      </c>
    </row>
    <row r="235" ht="22.5" customHeight="1">
      <c r="A235" s="18">
        <v>46194.44453329861</v>
      </c>
      <c r="B235" s="34">
        <v>0.0</v>
      </c>
      <c r="C235" s="19" t="s">
        <v>133</v>
      </c>
      <c r="D235" s="35">
        <v>46193.0</v>
      </c>
      <c r="E235" s="19" t="s">
        <v>81</v>
      </c>
      <c r="F235" s="19" t="s">
        <v>20</v>
      </c>
      <c r="G235" s="19" t="s">
        <v>123</v>
      </c>
      <c r="H235" s="19" t="s">
        <v>17</v>
      </c>
      <c r="J235" s="19" t="s">
        <v>20</v>
      </c>
    </row>
    <row r="236" ht="22.5" customHeight="1">
      <c r="A236" s="18">
        <v>46194.44499015046</v>
      </c>
      <c r="B236" s="34">
        <v>0.0</v>
      </c>
      <c r="C236" s="19" t="s">
        <v>163</v>
      </c>
      <c r="D236" s="35">
        <v>46193.0</v>
      </c>
      <c r="E236" s="19" t="s">
        <v>94</v>
      </c>
      <c r="F236" s="19" t="s">
        <v>20</v>
      </c>
      <c r="G236" s="19" t="s">
        <v>123</v>
      </c>
      <c r="H236" s="19" t="s">
        <v>17</v>
      </c>
      <c r="J236" s="19" t="s">
        <v>20</v>
      </c>
    </row>
    <row r="237" ht="22.5" customHeight="1">
      <c r="A237" s="18">
        <v>46194.44548300926</v>
      </c>
      <c r="B237" s="34">
        <v>0.0</v>
      </c>
      <c r="C237" s="19" t="s">
        <v>139</v>
      </c>
      <c r="D237" s="35">
        <v>46193.0</v>
      </c>
      <c r="E237" s="19" t="s">
        <v>94</v>
      </c>
      <c r="F237" s="19" t="s">
        <v>20</v>
      </c>
      <c r="G237" s="19" t="s">
        <v>123</v>
      </c>
      <c r="H237" s="19" t="s">
        <v>17</v>
      </c>
      <c r="J237" s="19" t="s">
        <v>20</v>
      </c>
    </row>
    <row r="238" ht="22.5" customHeight="1">
      <c r="A238" s="18">
        <v>46194.446096747684</v>
      </c>
      <c r="B238" s="34">
        <v>0.0</v>
      </c>
      <c r="C238" s="19" t="s">
        <v>139</v>
      </c>
      <c r="D238" s="35">
        <v>46193.0</v>
      </c>
      <c r="E238" s="19" t="s">
        <v>17</v>
      </c>
      <c r="F238" s="19" t="s">
        <v>58</v>
      </c>
      <c r="G238" s="19" t="s">
        <v>123</v>
      </c>
      <c r="H238" s="19" t="s">
        <v>17</v>
      </c>
      <c r="J238" s="19" t="s">
        <v>157</v>
      </c>
    </row>
    <row r="239" ht="22.5" customHeight="1">
      <c r="A239" s="18">
        <v>46194.44659018518</v>
      </c>
      <c r="B239" s="34">
        <v>0.0</v>
      </c>
      <c r="C239" s="19" t="s">
        <v>154</v>
      </c>
      <c r="D239" s="35">
        <v>46193.0</v>
      </c>
      <c r="E239" s="19" t="s">
        <v>227</v>
      </c>
      <c r="F239" s="19" t="s">
        <v>35</v>
      </c>
      <c r="G239" s="19" t="s">
        <v>111</v>
      </c>
      <c r="H239" s="19" t="s">
        <v>17</v>
      </c>
      <c r="J239" s="19" t="s">
        <v>157</v>
      </c>
    </row>
    <row r="240" ht="22.5" customHeight="1">
      <c r="A240" s="18">
        <v>46194.448791296294</v>
      </c>
      <c r="B240" s="34">
        <v>0.0</v>
      </c>
      <c r="C240" s="19" t="s">
        <v>116</v>
      </c>
      <c r="D240" s="36"/>
      <c r="F240" s="19" t="s">
        <v>93</v>
      </c>
      <c r="G240" s="19" t="s">
        <v>111</v>
      </c>
      <c r="H240" s="19" t="s">
        <v>17</v>
      </c>
      <c r="J240" s="19" t="s">
        <v>155</v>
      </c>
    </row>
    <row r="241" ht="22.5" customHeight="1">
      <c r="A241" s="18">
        <v>46194.44986700232</v>
      </c>
      <c r="B241" s="34">
        <v>0.0</v>
      </c>
      <c r="C241" s="19" t="s">
        <v>118</v>
      </c>
      <c r="D241" s="35">
        <v>46193.0</v>
      </c>
      <c r="E241" s="19" t="s">
        <v>55</v>
      </c>
      <c r="F241" s="19" t="s">
        <v>93</v>
      </c>
      <c r="G241" s="19" t="s">
        <v>111</v>
      </c>
      <c r="H241" s="19" t="s">
        <v>17</v>
      </c>
      <c r="J241" s="19" t="s">
        <v>155</v>
      </c>
    </row>
    <row r="242" ht="22.5" customHeight="1">
      <c r="A242" s="18">
        <v>46194.45177467592</v>
      </c>
      <c r="B242" s="34">
        <v>0.0</v>
      </c>
      <c r="C242" s="19" t="s">
        <v>161</v>
      </c>
      <c r="D242" s="35">
        <v>46193.0</v>
      </c>
      <c r="E242" s="19" t="s">
        <v>55</v>
      </c>
      <c r="F242" s="19" t="s">
        <v>43</v>
      </c>
      <c r="G242" s="19" t="s">
        <v>111</v>
      </c>
      <c r="H242" s="19" t="s">
        <v>17</v>
      </c>
      <c r="J242" s="19" t="s">
        <v>157</v>
      </c>
    </row>
    <row r="243" ht="22.5" customHeight="1">
      <c r="A243" s="18">
        <v>46194.45359016204</v>
      </c>
      <c r="B243" s="34">
        <v>0.0</v>
      </c>
      <c r="C243" s="19" t="s">
        <v>119</v>
      </c>
      <c r="D243" s="35">
        <v>46193.0</v>
      </c>
      <c r="E243" s="19">
        <v>1.0</v>
      </c>
      <c r="F243" s="19" t="s">
        <v>35</v>
      </c>
      <c r="G243" s="19" t="s">
        <v>111</v>
      </c>
      <c r="H243" s="19" t="s">
        <v>17</v>
      </c>
      <c r="J243" s="19" t="s">
        <v>157</v>
      </c>
    </row>
    <row r="244" ht="22.5" customHeight="1">
      <c r="A244" s="18">
        <v>46194.461342662034</v>
      </c>
      <c r="B244" s="34">
        <v>0.0</v>
      </c>
      <c r="C244" s="19" t="s">
        <v>124</v>
      </c>
      <c r="D244" s="35">
        <v>46193.0</v>
      </c>
      <c r="E244" s="19" t="s">
        <v>75</v>
      </c>
      <c r="F244" s="19" t="s">
        <v>43</v>
      </c>
      <c r="G244" s="19" t="s">
        <v>111</v>
      </c>
      <c r="H244" s="19" t="s">
        <v>17</v>
      </c>
      <c r="J244" s="19" t="s">
        <v>157</v>
      </c>
    </row>
    <row r="245" ht="22.5" customHeight="1">
      <c r="A245" s="18">
        <v>46194.46191726852</v>
      </c>
      <c r="B245" s="34">
        <v>0.0</v>
      </c>
      <c r="C245" s="19" t="s">
        <v>121</v>
      </c>
      <c r="D245" s="35">
        <v>46193.0</v>
      </c>
      <c r="E245" s="19" t="s">
        <v>228</v>
      </c>
      <c r="F245" s="19" t="s">
        <v>43</v>
      </c>
      <c r="G245" s="19" t="s">
        <v>111</v>
      </c>
      <c r="H245" s="19" t="s">
        <v>17</v>
      </c>
      <c r="J245" s="19" t="s">
        <v>157</v>
      </c>
    </row>
    <row r="246" ht="22.5" customHeight="1">
      <c r="A246" s="18">
        <v>46194.463143217596</v>
      </c>
      <c r="B246" s="34">
        <v>0.0</v>
      </c>
      <c r="C246" s="19" t="s">
        <v>133</v>
      </c>
      <c r="D246" s="35">
        <v>46193.0</v>
      </c>
      <c r="E246" s="19" t="s">
        <v>229</v>
      </c>
      <c r="F246" s="19" t="s">
        <v>135</v>
      </c>
      <c r="G246" s="19" t="s">
        <v>136</v>
      </c>
      <c r="H246" s="19" t="s">
        <v>17</v>
      </c>
      <c r="J246" s="19" t="s">
        <v>157</v>
      </c>
    </row>
    <row r="247" ht="22.5" customHeight="1">
      <c r="A247" s="18">
        <v>46194.46460446759</v>
      </c>
      <c r="B247" s="34">
        <v>0.0</v>
      </c>
      <c r="C247" s="19" t="s">
        <v>152</v>
      </c>
      <c r="D247" s="35">
        <v>46192.0</v>
      </c>
      <c r="E247" s="19" t="s">
        <v>226</v>
      </c>
      <c r="F247" s="19" t="s">
        <v>20</v>
      </c>
      <c r="G247" s="19" t="s">
        <v>123</v>
      </c>
      <c r="H247" s="19" t="s">
        <v>17</v>
      </c>
      <c r="J247" s="19" t="s">
        <v>20</v>
      </c>
    </row>
    <row r="248" ht="22.5" customHeight="1">
      <c r="A248" s="18">
        <v>46194.46564087963</v>
      </c>
      <c r="B248" s="34">
        <v>0.0</v>
      </c>
      <c r="C248" s="19" t="s">
        <v>147</v>
      </c>
      <c r="D248" s="35">
        <v>46192.0</v>
      </c>
      <c r="E248" s="19" t="s">
        <v>230</v>
      </c>
      <c r="F248" s="19" t="s">
        <v>20</v>
      </c>
      <c r="G248" s="19" t="s">
        <v>123</v>
      </c>
      <c r="H248" s="19" t="s">
        <v>17</v>
      </c>
      <c r="J248" s="19" t="s">
        <v>20</v>
      </c>
    </row>
    <row r="249" ht="22.5" customHeight="1">
      <c r="A249" s="18">
        <v>46194.466199999995</v>
      </c>
      <c r="B249" s="34">
        <v>0.0</v>
      </c>
      <c r="C249" s="19" t="s">
        <v>163</v>
      </c>
      <c r="D249" s="35">
        <v>46192.0</v>
      </c>
      <c r="E249" s="19" t="s">
        <v>85</v>
      </c>
      <c r="F249" s="19" t="s">
        <v>20</v>
      </c>
      <c r="G249" s="19" t="s">
        <v>111</v>
      </c>
      <c r="H249" s="19" t="s">
        <v>17</v>
      </c>
      <c r="J249" s="19" t="s">
        <v>20</v>
      </c>
    </row>
    <row r="250" ht="22.5" customHeight="1">
      <c r="A250" s="18">
        <v>46194.4671039699</v>
      </c>
      <c r="B250" s="34">
        <v>0.0</v>
      </c>
      <c r="C250" s="19" t="s">
        <v>139</v>
      </c>
      <c r="D250" s="35">
        <v>46192.0</v>
      </c>
      <c r="E250" s="19" t="s">
        <v>94</v>
      </c>
      <c r="F250" s="19" t="s">
        <v>20</v>
      </c>
      <c r="G250" s="19" t="s">
        <v>111</v>
      </c>
      <c r="H250" s="19" t="s">
        <v>17</v>
      </c>
      <c r="J250" s="19" t="s">
        <v>20</v>
      </c>
    </row>
    <row r="251" ht="22.5" customHeight="1">
      <c r="A251" s="18">
        <v>46194.489518692135</v>
      </c>
      <c r="B251" s="34">
        <v>0.0</v>
      </c>
      <c r="C251" s="19" t="s">
        <v>154</v>
      </c>
      <c r="D251" s="35">
        <v>46192.0</v>
      </c>
      <c r="E251" s="19" t="s">
        <v>231</v>
      </c>
      <c r="F251" s="19" t="s">
        <v>20</v>
      </c>
      <c r="G251" s="19" t="s">
        <v>123</v>
      </c>
      <c r="H251" s="19" t="s">
        <v>17</v>
      </c>
      <c r="J251" s="19" t="s">
        <v>20</v>
      </c>
    </row>
    <row r="252" ht="22.5" customHeight="1">
      <c r="A252" s="18">
        <v>46194.49025325231</v>
      </c>
      <c r="B252" s="34">
        <v>0.0</v>
      </c>
      <c r="C252" s="19" t="s">
        <v>116</v>
      </c>
      <c r="D252" s="35">
        <v>46192.0</v>
      </c>
      <c r="E252" s="19" t="s">
        <v>192</v>
      </c>
      <c r="F252" s="19" t="s">
        <v>20</v>
      </c>
      <c r="G252" s="19" t="s">
        <v>123</v>
      </c>
      <c r="H252" s="19" t="s">
        <v>17</v>
      </c>
      <c r="J252" s="19" t="s">
        <v>20</v>
      </c>
    </row>
    <row r="253" ht="22.5" customHeight="1">
      <c r="A253" s="18">
        <v>46194.49101982639</v>
      </c>
      <c r="B253" s="34">
        <v>0.0</v>
      </c>
      <c r="C253" s="19" t="s">
        <v>118</v>
      </c>
      <c r="D253" s="35">
        <v>46192.0</v>
      </c>
      <c r="E253" s="19" t="s">
        <v>83</v>
      </c>
      <c r="F253" s="19" t="s">
        <v>93</v>
      </c>
      <c r="G253" s="19" t="s">
        <v>123</v>
      </c>
      <c r="H253" s="19" t="s">
        <v>17</v>
      </c>
      <c r="J253" s="19" t="s">
        <v>20</v>
      </c>
    </row>
    <row r="254" ht="22.5" customHeight="1">
      <c r="A254" s="18">
        <v>46194.49177606481</v>
      </c>
      <c r="B254" s="34">
        <v>0.0</v>
      </c>
      <c r="C254" s="19" t="s">
        <v>144</v>
      </c>
      <c r="D254" s="35">
        <v>46192.0</v>
      </c>
      <c r="E254" s="19" t="s">
        <v>83</v>
      </c>
      <c r="F254" s="19" t="s">
        <v>20</v>
      </c>
      <c r="G254" s="19" t="s">
        <v>123</v>
      </c>
      <c r="H254" s="19" t="s">
        <v>17</v>
      </c>
      <c r="J254" s="19" t="s">
        <v>20</v>
      </c>
    </row>
    <row r="255" ht="22.5" customHeight="1">
      <c r="A255" s="18">
        <v>46194.49248019676</v>
      </c>
      <c r="B255" s="34">
        <v>0.0</v>
      </c>
      <c r="C255" s="19" t="s">
        <v>130</v>
      </c>
      <c r="D255" s="35">
        <v>46192.0</v>
      </c>
      <c r="E255" s="19" t="s">
        <v>85</v>
      </c>
      <c r="F255" s="19" t="s">
        <v>43</v>
      </c>
      <c r="G255" s="19" t="s">
        <v>123</v>
      </c>
      <c r="H255" s="19" t="s">
        <v>17</v>
      </c>
      <c r="J255" s="19" t="s">
        <v>151</v>
      </c>
    </row>
    <row r="256" ht="22.5" customHeight="1">
      <c r="A256" s="18">
        <v>46194.49346298611</v>
      </c>
      <c r="B256" s="34">
        <v>0.0</v>
      </c>
      <c r="C256" s="19" t="s">
        <v>132</v>
      </c>
      <c r="D256" s="35">
        <v>46192.0</v>
      </c>
      <c r="E256" s="19" t="s">
        <v>232</v>
      </c>
      <c r="F256" s="19" t="s">
        <v>43</v>
      </c>
      <c r="G256" s="19" t="s">
        <v>123</v>
      </c>
      <c r="H256" s="19" t="s">
        <v>17</v>
      </c>
      <c r="J256" s="19" t="s">
        <v>151</v>
      </c>
    </row>
    <row r="257" ht="22.5" customHeight="1">
      <c r="A257" s="18">
        <v>46194.49499989583</v>
      </c>
      <c r="B257" s="34">
        <v>0.0</v>
      </c>
      <c r="C257" s="19" t="s">
        <v>172</v>
      </c>
      <c r="D257" s="35">
        <v>46192.0</v>
      </c>
      <c r="E257" s="19" t="s">
        <v>158</v>
      </c>
      <c r="F257" s="19" t="s">
        <v>58</v>
      </c>
      <c r="G257" s="19" t="s">
        <v>123</v>
      </c>
      <c r="H257" s="19" t="s">
        <v>17</v>
      </c>
      <c r="J257" s="19" t="s">
        <v>157</v>
      </c>
    </row>
    <row r="258" ht="22.5" customHeight="1">
      <c r="A258" s="18">
        <v>46194.49565399306</v>
      </c>
      <c r="B258" s="34">
        <v>0.0</v>
      </c>
      <c r="C258" s="19" t="s">
        <v>130</v>
      </c>
      <c r="D258" s="35">
        <v>46192.0</v>
      </c>
      <c r="E258" s="19" t="s">
        <v>94</v>
      </c>
      <c r="F258" s="19" t="s">
        <v>58</v>
      </c>
      <c r="G258" s="19" t="s">
        <v>123</v>
      </c>
      <c r="H258" s="19" t="s">
        <v>17</v>
      </c>
      <c r="J258" s="19" t="s">
        <v>157</v>
      </c>
    </row>
    <row r="259" ht="22.5" customHeight="1">
      <c r="A259" s="18">
        <v>46194.49643292824</v>
      </c>
      <c r="B259" s="34">
        <v>0.0</v>
      </c>
      <c r="C259" s="19" t="s">
        <v>132</v>
      </c>
      <c r="D259" s="35">
        <v>46192.0</v>
      </c>
      <c r="E259" s="19" t="s">
        <v>94</v>
      </c>
      <c r="F259" s="19" t="s">
        <v>58</v>
      </c>
      <c r="G259" s="19" t="s">
        <v>123</v>
      </c>
      <c r="H259" s="19" t="s">
        <v>17</v>
      </c>
      <c r="J259" s="19" t="s">
        <v>157</v>
      </c>
    </row>
    <row r="260" ht="22.5" customHeight="1">
      <c r="A260" s="18">
        <v>46194.49693876157</v>
      </c>
      <c r="B260" s="34">
        <v>0.0</v>
      </c>
      <c r="C260" s="19" t="s">
        <v>124</v>
      </c>
      <c r="D260" s="35">
        <v>46192.0</v>
      </c>
      <c r="E260" s="19" t="s">
        <v>75</v>
      </c>
      <c r="F260" s="19" t="s">
        <v>58</v>
      </c>
      <c r="G260" s="19" t="s">
        <v>123</v>
      </c>
      <c r="H260" s="19" t="s">
        <v>17</v>
      </c>
      <c r="J260" s="19" t="s">
        <v>157</v>
      </c>
    </row>
    <row r="261">
      <c r="A261" s="37"/>
      <c r="B261" s="37"/>
      <c r="C261" s="37"/>
      <c r="D261" s="37"/>
      <c r="E261" s="37"/>
      <c r="F261" s="37"/>
      <c r="G261" s="37"/>
      <c r="H261" s="37"/>
      <c r="I261" s="37"/>
      <c r="J261" s="37"/>
    </row>
    <row r="262">
      <c r="A262" s="37"/>
      <c r="B262" s="37"/>
      <c r="C262" s="37"/>
      <c r="D262" s="37"/>
      <c r="E262" s="37"/>
      <c r="F262" s="37"/>
      <c r="G262" s="37"/>
      <c r="H262" s="37"/>
      <c r="I262" s="37"/>
      <c r="J262" s="37"/>
    </row>
    <row r="263">
      <c r="A263" s="37"/>
      <c r="B263" s="37"/>
      <c r="C263" s="37"/>
      <c r="D263" s="37"/>
      <c r="E263" s="37"/>
      <c r="F263" s="37"/>
      <c r="G263" s="37"/>
      <c r="H263" s="37"/>
      <c r="I263" s="37"/>
      <c r="J263" s="37"/>
    </row>
    <row r="264">
      <c r="A264" s="37"/>
      <c r="B264" s="37"/>
      <c r="C264" s="37"/>
      <c r="D264" s="37"/>
      <c r="E264" s="37"/>
      <c r="F264" s="37"/>
      <c r="G264" s="37"/>
      <c r="H264" s="38" t="s">
        <v>233</v>
      </c>
      <c r="I264" s="37"/>
      <c r="J264" s="37"/>
    </row>
    <row r="265">
      <c r="A265" s="37"/>
      <c r="B265" s="37"/>
      <c r="C265" s="37"/>
      <c r="D265" s="37"/>
      <c r="E265" s="37"/>
      <c r="F265" s="37"/>
      <c r="G265" s="37"/>
      <c r="H265" s="37"/>
      <c r="I265" s="37"/>
      <c r="J265" s="37"/>
    </row>
    <row r="266">
      <c r="A266" s="37"/>
      <c r="B266" s="37"/>
      <c r="C266" s="37"/>
      <c r="D266" s="37"/>
      <c r="E266" s="37"/>
      <c r="F266" s="37"/>
      <c r="G266" s="37"/>
      <c r="H266" s="37"/>
      <c r="I266" s="37"/>
      <c r="J266" s="37"/>
    </row>
    <row r="267">
      <c r="A267" s="37"/>
      <c r="B267" s="37"/>
      <c r="C267" s="37"/>
      <c r="D267" s="37"/>
      <c r="E267" s="37"/>
      <c r="F267" s="37"/>
      <c r="G267" s="37"/>
      <c r="H267" s="37"/>
      <c r="I267" s="37"/>
      <c r="J267" s="37"/>
    </row>
    <row r="268">
      <c r="A268" s="37"/>
      <c r="B268" s="37"/>
      <c r="C268" s="37"/>
      <c r="D268" s="37"/>
      <c r="E268" s="37"/>
      <c r="F268" s="37"/>
      <c r="G268" s="37"/>
      <c r="H268" s="37"/>
      <c r="I268" s="37"/>
      <c r="J268" s="37"/>
    </row>
    <row r="269">
      <c r="A269" s="37"/>
      <c r="B269" s="37"/>
      <c r="C269" s="37"/>
      <c r="D269" s="37"/>
      <c r="E269" s="37"/>
      <c r="F269" s="37"/>
      <c r="G269" s="37"/>
      <c r="H269" s="37"/>
      <c r="I269" s="37"/>
      <c r="J269" s="37"/>
    </row>
    <row r="270">
      <c r="A270" s="37"/>
      <c r="B270" s="37"/>
      <c r="C270" s="37"/>
      <c r="D270" s="37"/>
      <c r="E270" s="37"/>
      <c r="F270" s="37"/>
      <c r="G270" s="37"/>
      <c r="H270" s="37"/>
      <c r="I270" s="37"/>
      <c r="J270" s="37"/>
    </row>
    <row r="271">
      <c r="A271" s="37"/>
      <c r="B271" s="37"/>
      <c r="C271" s="37"/>
      <c r="D271" s="37"/>
      <c r="E271" s="37"/>
      <c r="F271" s="37"/>
      <c r="G271" s="37"/>
      <c r="H271" s="37"/>
      <c r="I271" s="37"/>
      <c r="J271" s="37"/>
    </row>
    <row r="272">
      <c r="A272" s="37"/>
      <c r="B272" s="37"/>
      <c r="C272" s="37"/>
      <c r="D272" s="37"/>
      <c r="E272" s="37"/>
      <c r="F272" s="37"/>
      <c r="G272" s="37"/>
      <c r="H272" s="37"/>
      <c r="I272" s="37"/>
      <c r="J272" s="37"/>
    </row>
    <row r="273">
      <c r="A273" s="37"/>
      <c r="B273" s="37"/>
      <c r="C273" s="37"/>
      <c r="D273" s="37"/>
      <c r="E273" s="37"/>
      <c r="F273" s="37"/>
      <c r="G273" s="37"/>
      <c r="H273" s="37"/>
      <c r="I273" s="37"/>
      <c r="J273" s="37"/>
    </row>
    <row r="274">
      <c r="A274" s="37"/>
      <c r="B274" s="37"/>
      <c r="C274" s="37"/>
      <c r="D274" s="37"/>
      <c r="E274" s="37"/>
      <c r="F274" s="37"/>
      <c r="G274" s="37"/>
      <c r="H274" s="37"/>
      <c r="I274" s="37"/>
      <c r="J274" s="37"/>
    </row>
    <row r="275">
      <c r="A275" s="37"/>
      <c r="B275" s="37"/>
      <c r="C275" s="37"/>
      <c r="D275" s="37"/>
      <c r="E275" s="37"/>
      <c r="F275" s="37"/>
      <c r="G275" s="37"/>
      <c r="H275" s="37"/>
      <c r="I275" s="37"/>
      <c r="J275" s="37"/>
    </row>
    <row r="276">
      <c r="A276" s="37"/>
      <c r="B276" s="37"/>
      <c r="C276" s="37"/>
      <c r="D276" s="37"/>
      <c r="E276" s="37"/>
      <c r="F276" s="37"/>
      <c r="G276" s="37"/>
      <c r="H276" s="37"/>
      <c r="I276" s="37"/>
      <c r="J276" s="37"/>
    </row>
    <row r="277">
      <c r="A277" s="37"/>
      <c r="B277" s="37"/>
      <c r="C277" s="37"/>
      <c r="D277" s="37"/>
      <c r="E277" s="37"/>
      <c r="F277" s="37"/>
      <c r="G277" s="37"/>
      <c r="H277" s="37"/>
      <c r="I277" s="37"/>
      <c r="J277" s="37"/>
    </row>
    <row r="278">
      <c r="A278" s="37"/>
      <c r="B278" s="37"/>
      <c r="C278" s="37"/>
      <c r="D278" s="37"/>
      <c r="E278" s="37"/>
      <c r="F278" s="37"/>
      <c r="G278" s="37"/>
      <c r="H278" s="37"/>
      <c r="I278" s="37"/>
      <c r="J278" s="37"/>
    </row>
    <row r="279">
      <c r="A279" s="37"/>
      <c r="B279" s="37"/>
      <c r="C279" s="37"/>
      <c r="D279" s="37"/>
      <c r="E279" s="37"/>
      <c r="F279" s="37"/>
      <c r="G279" s="37"/>
      <c r="H279" s="37"/>
      <c r="I279" s="37"/>
      <c r="J279" s="37"/>
    </row>
    <row r="280">
      <c r="A280" s="37"/>
      <c r="B280" s="37"/>
      <c r="C280" s="37"/>
      <c r="D280" s="37"/>
      <c r="E280" s="37"/>
      <c r="F280" s="37"/>
      <c r="G280" s="37"/>
      <c r="H280" s="37"/>
      <c r="I280" s="37"/>
      <c r="J280" s="37"/>
    </row>
    <row r="281">
      <c r="A281" s="37"/>
      <c r="B281" s="37"/>
      <c r="C281" s="37"/>
      <c r="D281" s="37"/>
      <c r="E281" s="37"/>
      <c r="F281" s="37"/>
      <c r="G281" s="37"/>
      <c r="H281" s="37"/>
      <c r="I281" s="37"/>
      <c r="J281" s="37"/>
    </row>
    <row r="282">
      <c r="A282" s="37"/>
      <c r="B282" s="37"/>
      <c r="C282" s="37"/>
      <c r="D282" s="37"/>
      <c r="E282" s="37"/>
      <c r="F282" s="37"/>
      <c r="G282" s="37"/>
      <c r="H282" s="37"/>
      <c r="I282" s="37"/>
      <c r="J282" s="37"/>
    </row>
    <row r="283">
      <c r="A283" s="37"/>
      <c r="B283" s="37"/>
      <c r="C283" s="37"/>
      <c r="D283" s="37"/>
      <c r="E283" s="37"/>
      <c r="F283" s="37"/>
      <c r="G283" s="37"/>
      <c r="H283" s="37"/>
      <c r="I283" s="37"/>
      <c r="J283" s="37"/>
    </row>
    <row r="284">
      <c r="A284" s="37"/>
      <c r="B284" s="37"/>
      <c r="C284" s="37"/>
      <c r="D284" s="37"/>
      <c r="E284" s="37"/>
      <c r="F284" s="37"/>
      <c r="G284" s="37"/>
      <c r="H284" s="37"/>
      <c r="I284" s="37"/>
      <c r="J284" s="37"/>
    </row>
    <row r="285">
      <c r="A285" s="37"/>
      <c r="B285" s="37"/>
      <c r="C285" s="37"/>
      <c r="D285" s="37"/>
      <c r="E285" s="37"/>
      <c r="F285" s="37"/>
      <c r="G285" s="37"/>
      <c r="H285" s="37"/>
      <c r="I285" s="37"/>
      <c r="J285" s="37"/>
    </row>
    <row r="286">
      <c r="A286" s="37"/>
      <c r="B286" s="37"/>
      <c r="C286" s="37"/>
      <c r="D286" s="37"/>
      <c r="E286" s="37"/>
      <c r="F286" s="37"/>
      <c r="G286" s="37"/>
      <c r="H286" s="37"/>
      <c r="I286" s="37"/>
      <c r="J286" s="37"/>
    </row>
    <row r="287">
      <c r="A287" s="37"/>
      <c r="B287" s="37"/>
      <c r="C287" s="37"/>
      <c r="D287" s="37"/>
      <c r="E287" s="37"/>
      <c r="F287" s="37"/>
      <c r="G287" s="37"/>
      <c r="H287" s="37"/>
      <c r="I287" s="37"/>
      <c r="J287" s="37"/>
    </row>
    <row r="288">
      <c r="A288" s="37"/>
      <c r="B288" s="37"/>
      <c r="C288" s="37"/>
      <c r="D288" s="37"/>
      <c r="E288" s="37"/>
      <c r="F288" s="37"/>
      <c r="G288" s="37"/>
      <c r="H288" s="37"/>
      <c r="I288" s="37"/>
      <c r="J288" s="37"/>
    </row>
    <row r="289">
      <c r="A289" s="37"/>
      <c r="B289" s="37"/>
      <c r="C289" s="37"/>
      <c r="D289" s="37"/>
      <c r="E289" s="37"/>
      <c r="F289" s="37"/>
      <c r="G289" s="37"/>
      <c r="H289" s="37"/>
      <c r="I289" s="37"/>
      <c r="J289" s="37"/>
    </row>
    <row r="290">
      <c r="A290" s="37"/>
      <c r="B290" s="37"/>
      <c r="C290" s="37"/>
      <c r="D290" s="37"/>
      <c r="E290" s="37"/>
      <c r="F290" s="37"/>
      <c r="G290" s="37"/>
      <c r="H290" s="37"/>
      <c r="I290" s="37"/>
      <c r="J290" s="37"/>
    </row>
    <row r="291">
      <c r="A291" s="37"/>
      <c r="B291" s="37"/>
      <c r="C291" s="37"/>
      <c r="D291" s="37"/>
      <c r="E291" s="37"/>
      <c r="F291" s="37"/>
      <c r="G291" s="37"/>
      <c r="H291" s="37"/>
      <c r="I291" s="37"/>
      <c r="J291" s="37"/>
    </row>
    <row r="292">
      <c r="A292" s="37"/>
      <c r="B292" s="37"/>
      <c r="C292" s="37"/>
      <c r="D292" s="37"/>
      <c r="E292" s="37"/>
      <c r="F292" s="37"/>
      <c r="G292" s="37"/>
      <c r="H292" s="37"/>
      <c r="I292" s="37"/>
      <c r="J292" s="37"/>
    </row>
    <row r="293">
      <c r="A293" s="37"/>
      <c r="B293" s="37"/>
      <c r="C293" s="37"/>
      <c r="D293" s="37"/>
      <c r="E293" s="37"/>
      <c r="F293" s="37"/>
      <c r="G293" s="37"/>
      <c r="H293" s="37"/>
      <c r="I293" s="37"/>
      <c r="J293" s="37"/>
    </row>
    <row r="294">
      <c r="A294" s="37"/>
      <c r="B294" s="37"/>
      <c r="C294" s="37"/>
      <c r="D294" s="37"/>
      <c r="E294" s="37"/>
      <c r="F294" s="37"/>
      <c r="G294" s="37"/>
      <c r="H294" s="37"/>
      <c r="I294" s="37"/>
      <c r="J294" s="37"/>
    </row>
    <row r="295">
      <c r="A295" s="37"/>
      <c r="B295" s="37"/>
      <c r="C295" s="37"/>
      <c r="D295" s="37"/>
      <c r="E295" s="37"/>
      <c r="F295" s="37"/>
      <c r="G295" s="37"/>
      <c r="H295" s="37"/>
      <c r="I295" s="37"/>
      <c r="J295" s="37"/>
    </row>
    <row r="296">
      <c r="A296" s="37"/>
      <c r="B296" s="37"/>
      <c r="C296" s="37"/>
      <c r="D296" s="37"/>
      <c r="E296" s="37"/>
      <c r="F296" s="37"/>
      <c r="G296" s="37"/>
      <c r="H296" s="37"/>
      <c r="I296" s="37"/>
      <c r="J296" s="37"/>
    </row>
    <row r="297">
      <c r="A297" s="37"/>
      <c r="B297" s="37"/>
      <c r="C297" s="37"/>
      <c r="D297" s="37"/>
      <c r="E297" s="37"/>
      <c r="F297" s="37"/>
      <c r="G297" s="37"/>
      <c r="H297" s="37"/>
      <c r="I297" s="37"/>
      <c r="J297" s="37"/>
    </row>
    <row r="298">
      <c r="A298" s="37"/>
      <c r="B298" s="37"/>
      <c r="C298" s="37"/>
      <c r="D298" s="37"/>
      <c r="E298" s="37"/>
      <c r="F298" s="37"/>
      <c r="G298" s="37"/>
      <c r="H298" s="37"/>
      <c r="I298" s="37"/>
      <c r="J298" s="37"/>
    </row>
    <row r="299">
      <c r="A299" s="37"/>
      <c r="B299" s="37"/>
      <c r="C299" s="37"/>
      <c r="D299" s="37"/>
      <c r="E299" s="37"/>
      <c r="F299" s="37"/>
      <c r="G299" s="37"/>
      <c r="H299" s="37"/>
      <c r="I299" s="37"/>
      <c r="J299" s="37"/>
    </row>
    <row r="300">
      <c r="A300" s="37"/>
      <c r="B300" s="37"/>
      <c r="C300" s="37"/>
      <c r="D300" s="37"/>
      <c r="E300" s="37"/>
      <c r="F300" s="37"/>
      <c r="G300" s="37"/>
      <c r="H300" s="37"/>
      <c r="I300" s="37"/>
      <c r="J300" s="37"/>
    </row>
    <row r="301">
      <c r="A301" s="37"/>
      <c r="B301" s="37"/>
      <c r="C301" s="37"/>
      <c r="D301" s="37"/>
      <c r="E301" s="37"/>
      <c r="F301" s="37"/>
      <c r="G301" s="37"/>
      <c r="H301" s="37"/>
      <c r="I301" s="37"/>
      <c r="J301" s="37"/>
    </row>
    <row r="302">
      <c r="A302" s="37"/>
      <c r="B302" s="37"/>
      <c r="C302" s="37"/>
      <c r="D302" s="37"/>
      <c r="E302" s="37"/>
      <c r="F302" s="37"/>
      <c r="G302" s="37"/>
      <c r="H302" s="37"/>
      <c r="I302" s="37"/>
      <c r="J302" s="37"/>
    </row>
    <row r="303">
      <c r="A303" s="37"/>
      <c r="B303" s="37"/>
      <c r="C303" s="37"/>
      <c r="D303" s="37"/>
      <c r="E303" s="37"/>
      <c r="F303" s="37"/>
      <c r="G303" s="37"/>
      <c r="H303" s="37"/>
      <c r="I303" s="37"/>
      <c r="J303" s="37"/>
    </row>
    <row r="304">
      <c r="A304" s="37"/>
      <c r="B304" s="37"/>
      <c r="C304" s="37"/>
      <c r="D304" s="37"/>
      <c r="E304" s="37"/>
      <c r="F304" s="37"/>
      <c r="G304" s="37"/>
      <c r="H304" s="37"/>
      <c r="I304" s="37"/>
      <c r="J304" s="37"/>
    </row>
    <row r="305">
      <c r="A305" s="37"/>
      <c r="B305" s="37"/>
      <c r="C305" s="37"/>
      <c r="D305" s="37"/>
      <c r="E305" s="37"/>
      <c r="F305" s="37"/>
      <c r="G305" s="37"/>
      <c r="H305" s="37"/>
      <c r="I305" s="37"/>
      <c r="J305" s="37"/>
    </row>
    <row r="306">
      <c r="A306" s="37"/>
      <c r="B306" s="37"/>
      <c r="C306" s="37"/>
      <c r="D306" s="37"/>
      <c r="E306" s="37"/>
      <c r="F306" s="37"/>
      <c r="G306" s="37"/>
      <c r="H306" s="37"/>
      <c r="I306" s="37"/>
      <c r="J306" s="37"/>
    </row>
    <row r="307">
      <c r="A307" s="37"/>
      <c r="B307" s="37"/>
      <c r="C307" s="37"/>
      <c r="D307" s="37"/>
      <c r="E307" s="37"/>
      <c r="F307" s="37"/>
      <c r="G307" s="37"/>
      <c r="H307" s="37"/>
      <c r="I307" s="37"/>
      <c r="J307" s="37"/>
    </row>
    <row r="308">
      <c r="A308" s="37"/>
      <c r="B308" s="37"/>
      <c r="C308" s="37"/>
      <c r="D308" s="37"/>
      <c r="E308" s="37"/>
      <c r="F308" s="37"/>
      <c r="G308" s="37"/>
      <c r="H308" s="37"/>
      <c r="I308" s="37"/>
      <c r="J308" s="37"/>
    </row>
    <row r="309">
      <c r="A309" s="37"/>
      <c r="B309" s="37"/>
      <c r="C309" s="37"/>
      <c r="D309" s="37"/>
      <c r="E309" s="37"/>
      <c r="F309" s="37"/>
      <c r="G309" s="37"/>
      <c r="H309" s="37"/>
      <c r="I309" s="37"/>
      <c r="J309" s="37"/>
    </row>
    <row r="310">
      <c r="A310" s="37"/>
      <c r="B310" s="37"/>
      <c r="C310" s="37"/>
      <c r="D310" s="37"/>
      <c r="E310" s="37"/>
      <c r="F310" s="37"/>
      <c r="G310" s="37"/>
      <c r="H310" s="37"/>
      <c r="I310" s="37"/>
      <c r="J310" s="37"/>
    </row>
    <row r="311">
      <c r="A311" s="37"/>
      <c r="B311" s="37"/>
      <c r="C311" s="37"/>
      <c r="D311" s="37"/>
      <c r="E311" s="37"/>
      <c r="F311" s="37"/>
      <c r="G311" s="37"/>
      <c r="H311" s="37"/>
      <c r="I311" s="37"/>
      <c r="J311" s="37"/>
    </row>
    <row r="312">
      <c r="A312" s="37"/>
      <c r="B312" s="37"/>
      <c r="C312" s="37"/>
      <c r="D312" s="37"/>
      <c r="E312" s="37"/>
      <c r="F312" s="37"/>
      <c r="G312" s="37"/>
      <c r="H312" s="37"/>
      <c r="I312" s="37"/>
      <c r="J312" s="37"/>
    </row>
    <row r="313">
      <c r="A313" s="37"/>
      <c r="B313" s="37"/>
      <c r="C313" s="37"/>
      <c r="D313" s="37"/>
      <c r="E313" s="37"/>
      <c r="F313" s="37"/>
      <c r="G313" s="37"/>
      <c r="H313" s="37"/>
      <c r="I313" s="37"/>
      <c r="J313" s="37"/>
    </row>
    <row r="314">
      <c r="A314" s="37"/>
      <c r="B314" s="37"/>
      <c r="C314" s="37"/>
      <c r="D314" s="37"/>
      <c r="E314" s="37"/>
      <c r="F314" s="37"/>
      <c r="G314" s="37"/>
      <c r="H314" s="37"/>
      <c r="I314" s="37"/>
      <c r="J314" s="37"/>
    </row>
    <row r="315">
      <c r="A315" s="37"/>
      <c r="B315" s="37"/>
      <c r="C315" s="37"/>
      <c r="D315" s="37"/>
      <c r="E315" s="37"/>
      <c r="F315" s="37"/>
      <c r="G315" s="37"/>
      <c r="H315" s="37"/>
      <c r="I315" s="37"/>
      <c r="J315" s="37"/>
    </row>
    <row r="316">
      <c r="A316" s="37"/>
      <c r="B316" s="37"/>
      <c r="C316" s="37"/>
      <c r="D316" s="37"/>
      <c r="E316" s="37"/>
      <c r="F316" s="37"/>
      <c r="G316" s="37"/>
      <c r="H316" s="37"/>
      <c r="I316" s="37"/>
      <c r="J316" s="37"/>
    </row>
    <row r="317">
      <c r="A317" s="37"/>
      <c r="B317" s="37"/>
      <c r="C317" s="37"/>
      <c r="D317" s="37"/>
      <c r="E317" s="37"/>
      <c r="F317" s="37"/>
      <c r="G317" s="37"/>
      <c r="H317" s="37"/>
      <c r="I317" s="37"/>
      <c r="J317" s="37"/>
    </row>
    <row r="318">
      <c r="A318" s="37"/>
      <c r="B318" s="37"/>
      <c r="C318" s="37"/>
      <c r="D318" s="37"/>
      <c r="E318" s="37"/>
      <c r="F318" s="37"/>
      <c r="G318" s="37"/>
      <c r="H318" s="37"/>
      <c r="I318" s="37"/>
      <c r="J318" s="37"/>
    </row>
    <row r="319">
      <c r="A319" s="37"/>
      <c r="B319" s="37"/>
      <c r="C319" s="37"/>
      <c r="D319" s="37"/>
      <c r="E319" s="37"/>
      <c r="F319" s="37"/>
      <c r="G319" s="37"/>
      <c r="H319" s="37"/>
      <c r="I319" s="37"/>
      <c r="J319" s="37"/>
    </row>
    <row r="320">
      <c r="A320" s="37"/>
      <c r="B320" s="37"/>
      <c r="C320" s="37"/>
      <c r="D320" s="37"/>
      <c r="E320" s="37"/>
      <c r="F320" s="37"/>
      <c r="G320" s="37"/>
      <c r="H320" s="37"/>
      <c r="I320" s="37"/>
      <c r="J320" s="37"/>
    </row>
    <row r="321">
      <c r="A321" s="37"/>
      <c r="B321" s="37"/>
      <c r="C321" s="37"/>
      <c r="D321" s="37"/>
      <c r="E321" s="37"/>
      <c r="F321" s="37"/>
      <c r="G321" s="37"/>
      <c r="H321" s="37"/>
      <c r="I321" s="37"/>
      <c r="J321" s="37"/>
    </row>
    <row r="322">
      <c r="A322" s="37"/>
      <c r="B322" s="37"/>
      <c r="C322" s="37"/>
      <c r="D322" s="37"/>
      <c r="E322" s="37"/>
      <c r="F322" s="37"/>
      <c r="G322" s="37"/>
      <c r="H322" s="37"/>
      <c r="I322" s="37"/>
      <c r="J322" s="37"/>
    </row>
    <row r="323">
      <c r="A323" s="37"/>
      <c r="B323" s="37"/>
      <c r="C323" s="37"/>
      <c r="D323" s="37"/>
      <c r="E323" s="37"/>
      <c r="F323" s="37"/>
      <c r="G323" s="37"/>
      <c r="H323" s="37"/>
      <c r="I323" s="37"/>
      <c r="J323" s="37"/>
    </row>
    <row r="324">
      <c r="A324" s="37"/>
      <c r="B324" s="37"/>
      <c r="C324" s="37"/>
      <c r="D324" s="37"/>
      <c r="E324" s="37"/>
      <c r="F324" s="37"/>
      <c r="G324" s="37"/>
      <c r="H324" s="37"/>
      <c r="I324" s="37"/>
      <c r="J324" s="37"/>
    </row>
    <row r="325">
      <c r="A325" s="37"/>
      <c r="B325" s="37"/>
      <c r="C325" s="37"/>
      <c r="D325" s="37"/>
      <c r="E325" s="37"/>
      <c r="F325" s="37"/>
      <c r="G325" s="37"/>
      <c r="H325" s="37"/>
      <c r="I325" s="37"/>
      <c r="J325" s="37"/>
    </row>
    <row r="326">
      <c r="A326" s="37"/>
      <c r="B326" s="37"/>
      <c r="C326" s="37"/>
      <c r="D326" s="37"/>
      <c r="E326" s="37"/>
      <c r="F326" s="37"/>
      <c r="G326" s="37"/>
      <c r="H326" s="37"/>
      <c r="I326" s="37"/>
      <c r="J326" s="37"/>
    </row>
    <row r="327">
      <c r="A327" s="37"/>
      <c r="B327" s="37"/>
      <c r="C327" s="37"/>
      <c r="D327" s="37"/>
      <c r="E327" s="37"/>
      <c r="F327" s="37"/>
      <c r="G327" s="37"/>
      <c r="H327" s="37"/>
      <c r="I327" s="37"/>
      <c r="J327" s="37"/>
    </row>
    <row r="328">
      <c r="A328" s="37"/>
      <c r="B328" s="37"/>
      <c r="C328" s="37"/>
      <c r="D328" s="37"/>
      <c r="E328" s="37"/>
      <c r="F328" s="37"/>
      <c r="G328" s="37"/>
      <c r="H328" s="37"/>
      <c r="I328" s="37"/>
      <c r="J328" s="37"/>
    </row>
    <row r="329">
      <c r="A329" s="37"/>
      <c r="B329" s="37"/>
      <c r="C329" s="37"/>
      <c r="D329" s="37"/>
      <c r="E329" s="37"/>
      <c r="F329" s="37"/>
      <c r="G329" s="37"/>
      <c r="H329" s="37"/>
      <c r="I329" s="37"/>
      <c r="J329" s="37"/>
    </row>
    <row r="330">
      <c r="A330" s="37"/>
      <c r="B330" s="37"/>
      <c r="C330" s="37"/>
      <c r="D330" s="37"/>
      <c r="E330" s="37"/>
      <c r="F330" s="37"/>
      <c r="G330" s="37"/>
      <c r="H330" s="37"/>
      <c r="I330" s="37"/>
      <c r="J330" s="37"/>
    </row>
    <row r="331">
      <c r="A331" s="37"/>
      <c r="B331" s="37"/>
      <c r="C331" s="37"/>
      <c r="D331" s="37"/>
      <c r="E331" s="37"/>
      <c r="F331" s="37"/>
      <c r="G331" s="37"/>
      <c r="H331" s="37"/>
      <c r="I331" s="37"/>
      <c r="J331" s="37"/>
    </row>
    <row r="332">
      <c r="A332" s="37"/>
      <c r="B332" s="37"/>
      <c r="C332" s="37"/>
      <c r="D332" s="37"/>
      <c r="E332" s="37"/>
      <c r="F332" s="37"/>
      <c r="G332" s="37"/>
      <c r="H332" s="37"/>
      <c r="I332" s="37"/>
      <c r="J332" s="37"/>
    </row>
    <row r="333">
      <c r="A333" s="37"/>
      <c r="B333" s="37"/>
      <c r="C333" s="37"/>
      <c r="D333" s="37"/>
      <c r="E333" s="37"/>
      <c r="F333" s="37"/>
      <c r="G333" s="37"/>
      <c r="H333" s="37"/>
      <c r="I333" s="37"/>
      <c r="J333" s="37"/>
    </row>
    <row r="334">
      <c r="A334" s="37"/>
      <c r="B334" s="37"/>
      <c r="C334" s="37"/>
      <c r="D334" s="37"/>
      <c r="E334" s="37"/>
      <c r="F334" s="37"/>
      <c r="G334" s="37"/>
      <c r="H334" s="37"/>
      <c r="I334" s="37"/>
      <c r="J334" s="37"/>
    </row>
    <row r="335">
      <c r="A335" s="37"/>
      <c r="B335" s="37"/>
      <c r="C335" s="37"/>
      <c r="D335" s="37"/>
      <c r="E335" s="37"/>
      <c r="F335" s="37"/>
      <c r="G335" s="37"/>
      <c r="H335" s="37"/>
      <c r="I335" s="37"/>
      <c r="J335" s="37"/>
    </row>
    <row r="336">
      <c r="A336" s="37"/>
      <c r="B336" s="37"/>
      <c r="C336" s="37"/>
      <c r="D336" s="37"/>
      <c r="E336" s="37"/>
      <c r="F336" s="37"/>
      <c r="G336" s="37"/>
      <c r="H336" s="37"/>
      <c r="I336" s="37"/>
      <c r="J336" s="37"/>
    </row>
    <row r="337">
      <c r="A337" s="37"/>
      <c r="B337" s="37"/>
      <c r="C337" s="37"/>
      <c r="D337" s="37"/>
      <c r="E337" s="37"/>
      <c r="F337" s="37"/>
      <c r="G337" s="37"/>
      <c r="H337" s="37"/>
      <c r="I337" s="37"/>
      <c r="J337" s="37"/>
    </row>
    <row r="338">
      <c r="A338" s="37"/>
      <c r="B338" s="37"/>
      <c r="C338" s="37"/>
      <c r="D338" s="37"/>
      <c r="E338" s="37"/>
      <c r="F338" s="37"/>
      <c r="G338" s="37"/>
      <c r="H338" s="37"/>
      <c r="I338" s="37"/>
      <c r="J338" s="37"/>
    </row>
    <row r="339">
      <c r="A339" s="37"/>
      <c r="B339" s="37"/>
      <c r="C339" s="37"/>
      <c r="D339" s="37"/>
      <c r="E339" s="37"/>
      <c r="F339" s="37"/>
      <c r="G339" s="37"/>
      <c r="H339" s="37"/>
      <c r="I339" s="37"/>
      <c r="J339" s="37"/>
    </row>
    <row r="340">
      <c r="A340" s="37"/>
      <c r="B340" s="37"/>
      <c r="C340" s="37"/>
      <c r="D340" s="37"/>
      <c r="E340" s="37"/>
      <c r="F340" s="37"/>
      <c r="G340" s="37"/>
      <c r="H340" s="37"/>
      <c r="I340" s="37"/>
      <c r="J340" s="37"/>
    </row>
    <row r="341">
      <c r="A341" s="37"/>
      <c r="B341" s="37"/>
      <c r="C341" s="37"/>
      <c r="D341" s="37"/>
      <c r="E341" s="37"/>
      <c r="F341" s="37"/>
      <c r="G341" s="37"/>
      <c r="H341" s="37"/>
      <c r="I341" s="37"/>
      <c r="J341" s="37"/>
    </row>
    <row r="342">
      <c r="A342" s="37"/>
      <c r="B342" s="37"/>
      <c r="C342" s="37"/>
      <c r="D342" s="37"/>
      <c r="E342" s="37"/>
      <c r="F342" s="37"/>
      <c r="G342" s="37"/>
      <c r="H342" s="37"/>
      <c r="I342" s="37"/>
      <c r="J342" s="37"/>
    </row>
    <row r="343">
      <c r="A343" s="37"/>
      <c r="B343" s="37"/>
      <c r="C343" s="37"/>
      <c r="D343" s="37"/>
      <c r="E343" s="37"/>
      <c r="F343" s="37"/>
      <c r="G343" s="37"/>
      <c r="H343" s="37"/>
      <c r="I343" s="37"/>
      <c r="J343" s="37"/>
    </row>
    <row r="344">
      <c r="A344" s="37"/>
      <c r="B344" s="37"/>
      <c r="C344" s="37"/>
      <c r="D344" s="37"/>
      <c r="E344" s="37"/>
      <c r="F344" s="37"/>
      <c r="G344" s="37"/>
      <c r="H344" s="37"/>
      <c r="I344" s="37"/>
      <c r="J344" s="37"/>
    </row>
    <row r="345">
      <c r="A345" s="37"/>
      <c r="B345" s="37"/>
      <c r="C345" s="37"/>
      <c r="D345" s="37"/>
      <c r="E345" s="37"/>
      <c r="F345" s="37"/>
      <c r="G345" s="37"/>
      <c r="H345" s="37"/>
      <c r="I345" s="37"/>
      <c r="J345" s="37"/>
    </row>
    <row r="346">
      <c r="A346" s="37"/>
      <c r="B346" s="37"/>
      <c r="C346" s="37"/>
      <c r="D346" s="37"/>
      <c r="E346" s="37"/>
      <c r="F346" s="37"/>
      <c r="G346" s="37"/>
      <c r="H346" s="37"/>
      <c r="I346" s="37"/>
      <c r="J346" s="37"/>
    </row>
    <row r="347">
      <c r="A347" s="37"/>
      <c r="B347" s="37"/>
      <c r="C347" s="37"/>
      <c r="D347" s="37"/>
      <c r="E347" s="37"/>
      <c r="F347" s="37"/>
      <c r="G347" s="37"/>
      <c r="H347" s="37"/>
      <c r="I347" s="37"/>
      <c r="J347" s="37"/>
    </row>
    <row r="348">
      <c r="A348" s="37"/>
      <c r="B348" s="37"/>
      <c r="C348" s="37"/>
      <c r="D348" s="37"/>
      <c r="E348" s="37"/>
      <c r="F348" s="37"/>
      <c r="G348" s="37"/>
      <c r="H348" s="37"/>
      <c r="I348" s="37"/>
      <c r="J348" s="37"/>
    </row>
    <row r="349">
      <c r="A349" s="37"/>
      <c r="B349" s="37"/>
      <c r="C349" s="37"/>
      <c r="D349" s="37"/>
      <c r="E349" s="37"/>
      <c r="F349" s="37"/>
      <c r="G349" s="37"/>
      <c r="H349" s="37"/>
      <c r="I349" s="37"/>
      <c r="J349" s="37"/>
    </row>
    <row r="350">
      <c r="A350" s="37"/>
      <c r="B350" s="37"/>
      <c r="C350" s="37"/>
      <c r="D350" s="37"/>
      <c r="E350" s="37"/>
      <c r="F350" s="37"/>
      <c r="G350" s="37"/>
      <c r="H350" s="37"/>
      <c r="I350" s="37"/>
      <c r="J350" s="37"/>
    </row>
    <row r="351">
      <c r="A351" s="37"/>
      <c r="B351" s="37"/>
      <c r="C351" s="37"/>
      <c r="D351" s="37"/>
      <c r="E351" s="37"/>
      <c r="F351" s="37"/>
      <c r="G351" s="37"/>
      <c r="H351" s="37"/>
      <c r="I351" s="37"/>
      <c r="J351" s="37"/>
    </row>
    <row r="352">
      <c r="A352" s="37"/>
      <c r="B352" s="37"/>
      <c r="C352" s="37"/>
      <c r="D352" s="37"/>
      <c r="E352" s="37"/>
      <c r="F352" s="37"/>
      <c r="G352" s="37"/>
      <c r="H352" s="37"/>
      <c r="I352" s="37"/>
      <c r="J352" s="37"/>
    </row>
    <row r="353">
      <c r="A353" s="37"/>
      <c r="B353" s="37"/>
      <c r="C353" s="37"/>
      <c r="D353" s="37"/>
      <c r="E353" s="37"/>
      <c r="F353" s="37"/>
      <c r="G353" s="37"/>
      <c r="H353" s="37"/>
      <c r="I353" s="37"/>
      <c r="J353" s="37"/>
    </row>
    <row r="354">
      <c r="A354" s="37"/>
      <c r="B354" s="37"/>
      <c r="C354" s="37"/>
      <c r="D354" s="37"/>
      <c r="E354" s="37"/>
      <c r="F354" s="37"/>
      <c r="G354" s="37"/>
      <c r="H354" s="37"/>
      <c r="I354" s="37"/>
      <c r="J354" s="37"/>
    </row>
    <row r="355">
      <c r="A355" s="37"/>
      <c r="B355" s="37"/>
      <c r="C355" s="37"/>
      <c r="D355" s="37"/>
      <c r="E355" s="37"/>
      <c r="F355" s="37"/>
      <c r="G355" s="37"/>
      <c r="H355" s="37"/>
      <c r="I355" s="37"/>
      <c r="J355" s="37"/>
    </row>
    <row r="356">
      <c r="A356" s="37"/>
      <c r="B356" s="37"/>
      <c r="C356" s="37"/>
      <c r="D356" s="37"/>
      <c r="E356" s="37"/>
      <c r="F356" s="37"/>
      <c r="G356" s="37"/>
      <c r="H356" s="37"/>
      <c r="I356" s="37"/>
      <c r="J356" s="37"/>
    </row>
    <row r="357">
      <c r="A357" s="37"/>
      <c r="B357" s="37"/>
      <c r="C357" s="37"/>
      <c r="D357" s="37"/>
      <c r="E357" s="37"/>
      <c r="F357" s="37"/>
      <c r="G357" s="37"/>
      <c r="H357" s="37"/>
      <c r="I357" s="37"/>
      <c r="J357" s="37"/>
    </row>
    <row r="358">
      <c r="A358" s="37"/>
      <c r="B358" s="37"/>
      <c r="C358" s="37"/>
      <c r="D358" s="37"/>
      <c r="E358" s="37"/>
      <c r="F358" s="37"/>
      <c r="G358" s="37"/>
      <c r="H358" s="37"/>
      <c r="I358" s="37"/>
      <c r="J358" s="37"/>
    </row>
    <row r="359">
      <c r="A359" s="37"/>
      <c r="B359" s="37"/>
      <c r="C359" s="37"/>
      <c r="D359" s="37"/>
      <c r="E359" s="37"/>
      <c r="F359" s="37"/>
      <c r="G359" s="37"/>
      <c r="H359" s="37"/>
      <c r="I359" s="37"/>
      <c r="J359" s="37"/>
    </row>
    <row r="360">
      <c r="A360" s="37"/>
      <c r="B360" s="37"/>
      <c r="C360" s="37"/>
      <c r="D360" s="37"/>
      <c r="E360" s="37"/>
      <c r="F360" s="37"/>
      <c r="G360" s="37"/>
      <c r="H360" s="37"/>
      <c r="I360" s="37"/>
      <c r="J360" s="37"/>
    </row>
  </sheetData>
  <dataValidations>
    <dataValidation type="custom" allowBlank="1" showDropDown="1" sqref="A2:A260 D2:D260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2" width="18.88"/>
  </cols>
  <sheetData>
    <row r="1" ht="22.5" customHeight="1">
      <c r="A1" s="39" t="s">
        <v>0</v>
      </c>
      <c r="B1" s="39" t="s">
        <v>234</v>
      </c>
      <c r="C1" s="39" t="s">
        <v>235</v>
      </c>
      <c r="D1" s="39" t="s">
        <v>236</v>
      </c>
      <c r="E1" s="39" t="s">
        <v>237</v>
      </c>
      <c r="F1" s="40" t="s">
        <v>238</v>
      </c>
    </row>
    <row r="2" ht="22.5" customHeight="1">
      <c r="A2" s="41">
        <v>46172.68695131944</v>
      </c>
      <c r="B2" s="42" t="s">
        <v>219</v>
      </c>
      <c r="C2" s="42" t="s">
        <v>239</v>
      </c>
      <c r="D2" s="42">
        <v>50.0</v>
      </c>
      <c r="E2" s="43">
        <v>46172.0</v>
      </c>
      <c r="F2" s="44"/>
    </row>
    <row r="3" ht="22.5" customHeight="1">
      <c r="A3" s="18">
        <v>46172.68829494213</v>
      </c>
      <c r="B3" s="19" t="s">
        <v>120</v>
      </c>
      <c r="C3" s="19" t="s">
        <v>239</v>
      </c>
      <c r="D3" s="19">
        <v>18.0</v>
      </c>
      <c r="E3" s="20">
        <v>46172.0</v>
      </c>
      <c r="F3" s="45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0.0"/>
    <col customWidth="1" min="3" max="3" width="21.5"/>
    <col customWidth="1" min="4" max="10" width="18.88"/>
  </cols>
  <sheetData>
    <row r="1" ht="22.5" customHeight="1">
      <c r="A1" s="39" t="s">
        <v>0</v>
      </c>
      <c r="B1" s="39" t="s">
        <v>240</v>
      </c>
      <c r="C1" s="39" t="s">
        <v>241</v>
      </c>
      <c r="D1" s="39" t="s">
        <v>242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9.75"/>
    <col customWidth="1" min="3" max="3" width="15.5"/>
    <col customWidth="1" min="4" max="4" width="13.75"/>
    <col customWidth="1" min="5" max="5" width="9.0"/>
    <col customWidth="1" min="6" max="6" width="26.38"/>
    <col customWidth="1" min="7" max="7" width="13.5"/>
    <col customWidth="1" min="8" max="8" width="18.13"/>
    <col customWidth="1" min="9" max="9" width="14.13"/>
    <col customWidth="1" min="10" max="10" width="17.38"/>
    <col customWidth="1" min="11" max="11" width="17.88"/>
    <col customWidth="1" min="12" max="17" width="18.88"/>
  </cols>
  <sheetData>
    <row r="1" ht="22.5" customHeight="1">
      <c r="A1" s="46" t="s">
        <v>0</v>
      </c>
      <c r="B1" s="47" t="s">
        <v>104</v>
      </c>
      <c r="C1" s="47" t="s">
        <v>243</v>
      </c>
      <c r="D1" s="48" t="s">
        <v>244</v>
      </c>
      <c r="E1" s="48" t="s">
        <v>245</v>
      </c>
      <c r="F1" s="48" t="s">
        <v>246</v>
      </c>
      <c r="G1" s="48" t="s">
        <v>247</v>
      </c>
      <c r="H1" s="48" t="s">
        <v>248</v>
      </c>
      <c r="I1" s="48" t="s">
        <v>249</v>
      </c>
      <c r="J1" s="48" t="s">
        <v>250</v>
      </c>
      <c r="K1" s="3" t="s">
        <v>251</v>
      </c>
      <c r="L1" s="37"/>
      <c r="M1" s="37"/>
      <c r="N1" s="37"/>
      <c r="O1" s="37"/>
      <c r="P1" s="37"/>
      <c r="Q1" s="37"/>
    </row>
    <row r="2" ht="22.5" customHeight="1">
      <c r="A2" s="5">
        <v>46176.0</v>
      </c>
      <c r="B2" s="26">
        <v>0.0</v>
      </c>
      <c r="C2" s="27" t="s">
        <v>31</v>
      </c>
      <c r="D2" s="27" t="s">
        <v>70</v>
      </c>
      <c r="E2" s="27">
        <v>5.0</v>
      </c>
      <c r="F2" s="49"/>
      <c r="G2" s="49"/>
      <c r="H2" s="27" t="s">
        <v>252</v>
      </c>
      <c r="I2" s="27">
        <f t="shared" ref="I2:I4" si="1">J2/E2</f>
        <v>140</v>
      </c>
      <c r="J2" s="27">
        <v>700.0</v>
      </c>
      <c r="K2" s="5">
        <v>46175.0</v>
      </c>
      <c r="L2" s="37"/>
      <c r="M2" s="37"/>
      <c r="N2" s="37"/>
      <c r="O2" s="37"/>
      <c r="P2" s="37"/>
      <c r="Q2" s="37"/>
    </row>
    <row r="3" ht="22.5" customHeight="1">
      <c r="A3" s="5">
        <v>46176.0</v>
      </c>
      <c r="B3" s="30">
        <v>0.0</v>
      </c>
      <c r="C3" s="15" t="s">
        <v>15</v>
      </c>
      <c r="D3" s="15" t="s">
        <v>70</v>
      </c>
      <c r="E3" s="15">
        <v>5.0</v>
      </c>
      <c r="F3" s="17"/>
      <c r="G3" s="17"/>
      <c r="H3" s="27" t="s">
        <v>252</v>
      </c>
      <c r="I3" s="15">
        <f t="shared" si="1"/>
        <v>50</v>
      </c>
      <c r="J3" s="27">
        <v>250.0</v>
      </c>
      <c r="K3" s="10">
        <v>46175.0</v>
      </c>
      <c r="L3" s="37"/>
      <c r="M3" s="37"/>
      <c r="N3" s="37"/>
      <c r="O3" s="37"/>
      <c r="P3" s="37"/>
      <c r="Q3" s="37"/>
    </row>
    <row r="4" ht="22.5" customHeight="1">
      <c r="A4" s="5">
        <v>46176.0</v>
      </c>
      <c r="B4" s="30">
        <v>0.0</v>
      </c>
      <c r="C4" s="15" t="s">
        <v>10</v>
      </c>
      <c r="D4" s="15" t="s">
        <v>70</v>
      </c>
      <c r="E4" s="15">
        <v>50.0</v>
      </c>
      <c r="F4" s="17"/>
      <c r="G4" s="17"/>
      <c r="H4" s="27" t="s">
        <v>252</v>
      </c>
      <c r="I4" s="27">
        <f t="shared" si="1"/>
        <v>22</v>
      </c>
      <c r="J4" s="15">
        <v>1100.0</v>
      </c>
      <c r="K4" s="10">
        <v>46175.0</v>
      </c>
      <c r="L4" s="37"/>
      <c r="M4" s="37"/>
      <c r="N4" s="37"/>
      <c r="O4" s="37"/>
      <c r="P4" s="37"/>
      <c r="Q4" s="37"/>
    </row>
    <row r="5" ht="22.5" customHeight="1">
      <c r="A5" s="10">
        <v>46181.76719820602</v>
      </c>
      <c r="B5" s="30">
        <v>0.0</v>
      </c>
      <c r="C5" s="15" t="s">
        <v>28</v>
      </c>
      <c r="D5" s="15" t="s">
        <v>253</v>
      </c>
      <c r="E5" s="15">
        <v>1.0</v>
      </c>
      <c r="F5" s="17"/>
      <c r="G5" s="17"/>
      <c r="H5" s="27" t="s">
        <v>252</v>
      </c>
      <c r="I5" s="15">
        <v>0.0</v>
      </c>
      <c r="J5" s="15">
        <v>1150.0</v>
      </c>
      <c r="K5" s="10">
        <v>46175.0</v>
      </c>
      <c r="L5" s="37"/>
      <c r="M5" s="37"/>
      <c r="N5" s="37"/>
      <c r="O5" s="37"/>
      <c r="P5" s="37"/>
      <c r="Q5" s="37"/>
    </row>
    <row r="6" ht="22.5" customHeight="1">
      <c r="A6" s="10">
        <v>46181.769317847225</v>
      </c>
      <c r="B6" s="30">
        <v>0.0</v>
      </c>
      <c r="C6" s="15" t="s">
        <v>37</v>
      </c>
      <c r="D6" s="15" t="s">
        <v>253</v>
      </c>
      <c r="E6" s="15">
        <v>7.0</v>
      </c>
      <c r="F6" s="17"/>
      <c r="G6" s="17"/>
      <c r="H6" s="27" t="s">
        <v>252</v>
      </c>
      <c r="I6" s="15">
        <v>6.0</v>
      </c>
      <c r="J6" s="15">
        <v>1260.0</v>
      </c>
      <c r="K6" s="10">
        <v>46175.0</v>
      </c>
      <c r="L6" s="37"/>
      <c r="M6" s="37"/>
      <c r="N6" s="37"/>
      <c r="O6" s="37"/>
      <c r="P6" s="37"/>
      <c r="Q6" s="37"/>
    </row>
    <row r="7" ht="22.5" customHeight="1">
      <c r="A7" s="10">
        <v>46181.77132680555</v>
      </c>
      <c r="B7" s="30">
        <v>0.0</v>
      </c>
      <c r="C7" s="15" t="s">
        <v>254</v>
      </c>
      <c r="D7" s="15" t="s">
        <v>239</v>
      </c>
      <c r="E7" s="15">
        <v>20.0</v>
      </c>
      <c r="F7" s="17"/>
      <c r="G7" s="17"/>
      <c r="H7" s="27" t="s">
        <v>252</v>
      </c>
      <c r="I7" s="15">
        <v>10.0</v>
      </c>
      <c r="J7" s="15">
        <v>200.0</v>
      </c>
      <c r="K7" s="10">
        <v>46175.0</v>
      </c>
      <c r="L7" s="37"/>
      <c r="M7" s="37"/>
      <c r="N7" s="37"/>
      <c r="O7" s="37"/>
      <c r="P7" s="37"/>
      <c r="Q7" s="37"/>
    </row>
    <row r="8" ht="22.5" customHeight="1">
      <c r="A8" s="10">
        <v>46181.77223524306</v>
      </c>
      <c r="B8" s="30">
        <v>0.0</v>
      </c>
      <c r="C8" s="15" t="s">
        <v>99</v>
      </c>
      <c r="D8" s="15" t="s">
        <v>70</v>
      </c>
      <c r="E8" s="15">
        <v>5.0</v>
      </c>
      <c r="F8" s="17"/>
      <c r="G8" s="17"/>
      <c r="H8" s="27" t="s">
        <v>252</v>
      </c>
      <c r="I8" s="15">
        <v>50.0</v>
      </c>
      <c r="J8" s="15">
        <v>250.0</v>
      </c>
      <c r="K8" s="10">
        <v>46175.0</v>
      </c>
      <c r="L8" s="37"/>
      <c r="M8" s="37"/>
      <c r="N8" s="37"/>
      <c r="O8" s="37"/>
      <c r="P8" s="37"/>
      <c r="Q8" s="37"/>
    </row>
    <row r="9" ht="22.5" customHeight="1">
      <c r="A9" s="10">
        <v>46181.77368966435</v>
      </c>
      <c r="B9" s="30">
        <v>0.0</v>
      </c>
      <c r="C9" s="15" t="s">
        <v>53</v>
      </c>
      <c r="D9" s="15" t="s">
        <v>239</v>
      </c>
      <c r="E9" s="15">
        <v>5.0</v>
      </c>
      <c r="F9" s="17"/>
      <c r="G9" s="17"/>
      <c r="H9" s="27" t="s">
        <v>252</v>
      </c>
      <c r="I9" s="15">
        <v>30.0</v>
      </c>
      <c r="J9" s="15">
        <v>150.0</v>
      </c>
      <c r="K9" s="10">
        <v>46175.0</v>
      </c>
      <c r="L9" s="37"/>
      <c r="M9" s="37"/>
      <c r="N9" s="37"/>
      <c r="O9" s="37"/>
      <c r="P9" s="37"/>
      <c r="Q9" s="37"/>
    </row>
    <row r="10" ht="22.5" customHeight="1">
      <c r="A10" s="10">
        <v>46181.774295752315</v>
      </c>
      <c r="B10" s="30">
        <v>0.0</v>
      </c>
      <c r="C10" s="15" t="s">
        <v>76</v>
      </c>
      <c r="D10" s="15" t="s">
        <v>239</v>
      </c>
      <c r="E10" s="15">
        <v>5.0</v>
      </c>
      <c r="F10" s="17"/>
      <c r="G10" s="17"/>
      <c r="H10" s="27" t="s">
        <v>252</v>
      </c>
      <c r="I10" s="15">
        <v>10.0</v>
      </c>
      <c r="J10" s="15">
        <v>50.0</v>
      </c>
      <c r="K10" s="10">
        <v>46175.0</v>
      </c>
      <c r="L10" s="37"/>
      <c r="M10" s="37"/>
      <c r="N10" s="37"/>
      <c r="O10" s="37"/>
      <c r="P10" s="37"/>
      <c r="Q10" s="37"/>
    </row>
    <row r="11" ht="22.5" customHeight="1">
      <c r="A11" s="10">
        <v>46181.77667802083</v>
      </c>
      <c r="B11" s="30">
        <v>0.0</v>
      </c>
      <c r="C11" s="15" t="s">
        <v>255</v>
      </c>
      <c r="D11" s="15" t="s">
        <v>70</v>
      </c>
      <c r="E11" s="15">
        <v>5.0</v>
      </c>
      <c r="F11" s="17"/>
      <c r="G11" s="17"/>
      <c r="H11" s="27" t="s">
        <v>252</v>
      </c>
      <c r="I11" s="15">
        <v>30.0</v>
      </c>
      <c r="J11" s="15">
        <v>150.0</v>
      </c>
      <c r="K11" s="10">
        <v>46175.0</v>
      </c>
      <c r="L11" s="37"/>
      <c r="M11" s="37"/>
      <c r="N11" s="37"/>
      <c r="O11" s="37"/>
      <c r="P11" s="37"/>
      <c r="Q11" s="37"/>
    </row>
    <row r="12" ht="22.5" customHeight="1">
      <c r="A12" s="10">
        <v>46181.777406215275</v>
      </c>
      <c r="B12" s="30">
        <v>0.0</v>
      </c>
      <c r="C12" s="15" t="s">
        <v>256</v>
      </c>
      <c r="D12" s="15" t="s">
        <v>70</v>
      </c>
      <c r="E12" s="15">
        <v>8.0</v>
      </c>
      <c r="F12" s="17"/>
      <c r="G12" s="17"/>
      <c r="H12" s="27" t="s">
        <v>252</v>
      </c>
      <c r="I12" s="15">
        <v>50.0</v>
      </c>
      <c r="J12" s="15">
        <v>400.0</v>
      </c>
      <c r="K12" s="10">
        <v>46175.0</v>
      </c>
      <c r="L12" s="37"/>
      <c r="M12" s="37"/>
      <c r="N12" s="37"/>
      <c r="O12" s="37"/>
      <c r="P12" s="37"/>
      <c r="Q12" s="37"/>
    </row>
    <row r="13" ht="22.5" customHeight="1">
      <c r="A13" s="10">
        <v>46181.77890929398</v>
      </c>
      <c r="B13" s="30">
        <v>0.0</v>
      </c>
      <c r="C13" s="15" t="s">
        <v>61</v>
      </c>
      <c r="D13" s="15" t="s">
        <v>239</v>
      </c>
      <c r="E13" s="15">
        <v>50.0</v>
      </c>
      <c r="F13" s="17"/>
      <c r="G13" s="17"/>
      <c r="H13" s="27" t="s">
        <v>252</v>
      </c>
      <c r="I13" s="15">
        <v>10.0</v>
      </c>
      <c r="J13" s="15">
        <v>500.0</v>
      </c>
      <c r="K13" s="10">
        <v>46175.0</v>
      </c>
      <c r="L13" s="37"/>
      <c r="M13" s="37"/>
      <c r="N13" s="37"/>
      <c r="O13" s="37"/>
      <c r="P13" s="37"/>
      <c r="Q13" s="37"/>
    </row>
    <row r="14" ht="22.5" customHeight="1">
      <c r="A14" s="10">
        <v>46181.785865972226</v>
      </c>
      <c r="B14" s="30">
        <v>0.0</v>
      </c>
      <c r="C14" s="15" t="s">
        <v>257</v>
      </c>
      <c r="D14" s="15" t="s">
        <v>70</v>
      </c>
      <c r="E14" s="15">
        <v>5.0</v>
      </c>
      <c r="F14" s="17"/>
      <c r="G14" s="17"/>
      <c r="H14" s="27" t="s">
        <v>252</v>
      </c>
      <c r="I14" s="15">
        <v>50.0</v>
      </c>
      <c r="J14" s="15">
        <v>250.0</v>
      </c>
      <c r="K14" s="10">
        <v>46175.0</v>
      </c>
      <c r="L14" s="37"/>
      <c r="M14" s="37"/>
      <c r="N14" s="37"/>
      <c r="O14" s="37"/>
      <c r="P14" s="37"/>
      <c r="Q14" s="37"/>
    </row>
    <row r="15" ht="22.5" customHeight="1">
      <c r="A15" s="10">
        <v>46181.78689091435</v>
      </c>
      <c r="B15" s="30">
        <v>0.0</v>
      </c>
      <c r="C15" s="15" t="s">
        <v>23</v>
      </c>
      <c r="D15" s="15" t="s">
        <v>239</v>
      </c>
      <c r="E15" s="15">
        <v>7.0</v>
      </c>
      <c r="F15" s="17"/>
      <c r="G15" s="17"/>
      <c r="H15" s="27" t="s">
        <v>252</v>
      </c>
      <c r="I15" s="15">
        <v>30.0</v>
      </c>
      <c r="J15" s="15">
        <v>210.0</v>
      </c>
      <c r="K15" s="10">
        <v>46175.0</v>
      </c>
      <c r="L15" s="37"/>
      <c r="M15" s="37"/>
      <c r="N15" s="37"/>
      <c r="O15" s="37"/>
      <c r="P15" s="37"/>
      <c r="Q15" s="37"/>
    </row>
    <row r="16" ht="22.5" customHeight="1">
      <c r="A16" s="10">
        <v>46181.788837326385</v>
      </c>
      <c r="B16" s="30">
        <v>0.0</v>
      </c>
      <c r="C16" s="15" t="s">
        <v>21</v>
      </c>
      <c r="D16" s="15" t="s">
        <v>239</v>
      </c>
      <c r="E16" s="15">
        <v>6.0</v>
      </c>
      <c r="F16" s="17"/>
      <c r="G16" s="17"/>
      <c r="H16" s="27" t="s">
        <v>252</v>
      </c>
      <c r="I16" s="15">
        <v>5.0</v>
      </c>
      <c r="J16" s="15">
        <v>30.0</v>
      </c>
      <c r="K16" s="10">
        <v>46175.0</v>
      </c>
      <c r="L16" s="37"/>
      <c r="M16" s="37"/>
      <c r="N16" s="37"/>
      <c r="O16" s="37"/>
      <c r="P16" s="37"/>
      <c r="Q16" s="37"/>
    </row>
    <row r="17" ht="22.5" customHeight="1">
      <c r="A17" s="10">
        <v>46181.7896175</v>
      </c>
      <c r="B17" s="30">
        <v>0.0</v>
      </c>
      <c r="C17" s="15" t="s">
        <v>22</v>
      </c>
      <c r="D17" s="15" t="s">
        <v>70</v>
      </c>
      <c r="E17" s="15">
        <v>3.0</v>
      </c>
      <c r="F17" s="17"/>
      <c r="G17" s="17"/>
      <c r="H17" s="27" t="s">
        <v>252</v>
      </c>
      <c r="I17" s="15">
        <v>50.0</v>
      </c>
      <c r="J17" s="15">
        <v>150.0</v>
      </c>
      <c r="K17" s="10">
        <v>46175.0</v>
      </c>
      <c r="L17" s="37"/>
      <c r="M17" s="37"/>
      <c r="N17" s="37"/>
      <c r="O17" s="37"/>
      <c r="P17" s="37"/>
      <c r="Q17" s="37"/>
    </row>
    <row r="18" ht="22.5" customHeight="1">
      <c r="A18" s="10">
        <v>46181.79017046296</v>
      </c>
      <c r="B18" s="30">
        <v>0.0</v>
      </c>
      <c r="C18" s="15" t="s">
        <v>42</v>
      </c>
      <c r="D18" s="15" t="s">
        <v>70</v>
      </c>
      <c r="E18" s="15">
        <v>1.0</v>
      </c>
      <c r="F18" s="17"/>
      <c r="G18" s="17"/>
      <c r="H18" s="27" t="s">
        <v>252</v>
      </c>
      <c r="I18" s="15">
        <v>60.0</v>
      </c>
      <c r="J18" s="15">
        <v>60.0</v>
      </c>
      <c r="K18" s="10">
        <v>46175.0</v>
      </c>
      <c r="L18" s="37"/>
      <c r="M18" s="37"/>
      <c r="N18" s="37"/>
      <c r="O18" s="37"/>
      <c r="P18" s="37"/>
      <c r="Q18" s="37"/>
    </row>
    <row r="19" ht="22.5" customHeight="1">
      <c r="A19" s="10">
        <v>46181.79228412037</v>
      </c>
      <c r="B19" s="30">
        <v>0.0</v>
      </c>
      <c r="C19" s="15" t="s">
        <v>57</v>
      </c>
      <c r="D19" s="15" t="s">
        <v>70</v>
      </c>
      <c r="E19" s="15">
        <v>10.0</v>
      </c>
      <c r="F19" s="17"/>
      <c r="G19" s="17"/>
      <c r="H19" s="27" t="s">
        <v>252</v>
      </c>
      <c r="I19" s="15">
        <v>50.0</v>
      </c>
      <c r="J19" s="15">
        <v>500.0</v>
      </c>
      <c r="K19" s="10">
        <v>46175.0</v>
      </c>
      <c r="L19" s="37"/>
      <c r="M19" s="37"/>
      <c r="N19" s="37"/>
      <c r="O19" s="37"/>
      <c r="P19" s="37"/>
      <c r="Q19" s="37"/>
    </row>
    <row r="20" ht="22.5" customHeight="1">
      <c r="A20" s="10">
        <v>46181.79332751158</v>
      </c>
      <c r="B20" s="30">
        <v>0.0</v>
      </c>
      <c r="C20" s="15" t="s">
        <v>258</v>
      </c>
      <c r="D20" s="15" t="s">
        <v>259</v>
      </c>
      <c r="E20" s="15">
        <v>0.0</v>
      </c>
      <c r="F20" s="17"/>
      <c r="G20" s="17"/>
      <c r="H20" s="27" t="s">
        <v>252</v>
      </c>
      <c r="I20" s="15">
        <v>0.0</v>
      </c>
      <c r="J20" s="15">
        <v>300.0</v>
      </c>
      <c r="K20" s="10">
        <v>46175.0</v>
      </c>
      <c r="L20" s="37"/>
      <c r="M20" s="37"/>
      <c r="N20" s="37"/>
      <c r="O20" s="37"/>
      <c r="P20" s="37"/>
      <c r="Q20" s="37"/>
    </row>
    <row r="21" ht="22.5" customHeight="1">
      <c r="A21" s="50">
        <v>46176.0</v>
      </c>
      <c r="B21" s="51"/>
      <c r="C21" s="52" t="s">
        <v>260</v>
      </c>
      <c r="D21" s="52"/>
      <c r="E21" s="52"/>
      <c r="F21" s="53"/>
      <c r="G21" s="53"/>
      <c r="H21" s="27" t="s">
        <v>252</v>
      </c>
      <c r="I21" s="54"/>
      <c r="J21" s="52">
        <f>SUM(J2:J20)</f>
        <v>7660</v>
      </c>
      <c r="K21" s="50"/>
      <c r="L21" s="37"/>
      <c r="M21" s="37"/>
      <c r="N21" s="37"/>
      <c r="O21" s="37"/>
      <c r="P21" s="37"/>
      <c r="Q21" s="37"/>
    </row>
    <row r="22" ht="22.5" customHeight="1">
      <c r="A22" s="10">
        <v>46181.82116063657</v>
      </c>
      <c r="B22" s="30">
        <v>0.0</v>
      </c>
      <c r="C22" s="15" t="s">
        <v>28</v>
      </c>
      <c r="D22" s="15" t="s">
        <v>253</v>
      </c>
      <c r="E22" s="15">
        <v>1.0</v>
      </c>
      <c r="F22" s="17"/>
      <c r="G22" s="17"/>
      <c r="H22" s="27" t="s">
        <v>252</v>
      </c>
      <c r="I22" s="15">
        <v>60.0</v>
      </c>
      <c r="J22" s="15">
        <v>1200.0</v>
      </c>
      <c r="K22" s="10">
        <v>46178.0</v>
      </c>
      <c r="L22" s="37"/>
      <c r="M22" s="37"/>
      <c r="N22" s="37"/>
      <c r="O22" s="37"/>
      <c r="P22" s="37"/>
      <c r="Q22" s="37"/>
    </row>
    <row r="23" ht="22.5" customHeight="1">
      <c r="A23" s="10">
        <v>46181.82177699074</v>
      </c>
      <c r="B23" s="30">
        <v>0.0</v>
      </c>
      <c r="C23" s="15" t="s">
        <v>15</v>
      </c>
      <c r="D23" s="15" t="s">
        <v>70</v>
      </c>
      <c r="E23" s="15">
        <v>10.0</v>
      </c>
      <c r="F23" s="17"/>
      <c r="G23" s="17"/>
      <c r="H23" s="27" t="s">
        <v>252</v>
      </c>
      <c r="I23" s="15">
        <v>55.0</v>
      </c>
      <c r="J23" s="15">
        <v>550.0</v>
      </c>
      <c r="K23" s="10">
        <v>46178.0</v>
      </c>
      <c r="L23" s="37"/>
      <c r="M23" s="37"/>
      <c r="N23" s="37"/>
      <c r="O23" s="37"/>
      <c r="P23" s="37"/>
      <c r="Q23" s="37"/>
    </row>
    <row r="24" ht="22.5" customHeight="1">
      <c r="A24" s="10">
        <v>46181.82309877315</v>
      </c>
      <c r="B24" s="30">
        <v>0.0</v>
      </c>
      <c r="C24" s="15" t="s">
        <v>31</v>
      </c>
      <c r="D24" s="15" t="s">
        <v>70</v>
      </c>
      <c r="E24" s="15">
        <v>5.0</v>
      </c>
      <c r="F24" s="17"/>
      <c r="G24" s="17"/>
      <c r="H24" s="27" t="s">
        <v>252</v>
      </c>
      <c r="I24" s="15">
        <v>150.0</v>
      </c>
      <c r="J24" s="15">
        <v>750.0</v>
      </c>
      <c r="K24" s="10">
        <v>46178.0</v>
      </c>
      <c r="L24" s="37"/>
      <c r="M24" s="37"/>
      <c r="N24" s="37"/>
      <c r="O24" s="37"/>
      <c r="P24" s="37"/>
      <c r="Q24" s="37"/>
    </row>
    <row r="25" ht="22.5" customHeight="1">
      <c r="A25" s="10">
        <v>46181.823724131944</v>
      </c>
      <c r="B25" s="30">
        <v>0.0</v>
      </c>
      <c r="C25" s="15" t="s">
        <v>99</v>
      </c>
      <c r="D25" s="15" t="s">
        <v>70</v>
      </c>
      <c r="E25" s="15">
        <v>10.0</v>
      </c>
      <c r="F25" s="17"/>
      <c r="G25" s="17"/>
      <c r="H25" s="27" t="s">
        <v>252</v>
      </c>
      <c r="I25" s="15">
        <v>45.0</v>
      </c>
      <c r="J25" s="15">
        <v>450.0</v>
      </c>
      <c r="K25" s="10">
        <v>46178.0</v>
      </c>
      <c r="L25" s="37"/>
      <c r="M25" s="37"/>
      <c r="N25" s="37"/>
      <c r="O25" s="37"/>
      <c r="P25" s="37"/>
      <c r="Q25" s="37"/>
    </row>
    <row r="26" ht="22.5" customHeight="1">
      <c r="A26" s="10">
        <v>46181.827096354165</v>
      </c>
      <c r="B26" s="30">
        <v>0.0</v>
      </c>
      <c r="C26" s="15" t="s">
        <v>22</v>
      </c>
      <c r="D26" s="15" t="s">
        <v>70</v>
      </c>
      <c r="E26" s="15">
        <v>4.0</v>
      </c>
      <c r="F26" s="17"/>
      <c r="G26" s="17"/>
      <c r="H26" s="27" t="s">
        <v>252</v>
      </c>
      <c r="I26" s="15">
        <v>50.0</v>
      </c>
      <c r="J26" s="15">
        <v>200.0</v>
      </c>
      <c r="K26" s="10">
        <v>46178.0</v>
      </c>
      <c r="L26" s="37"/>
      <c r="M26" s="37"/>
      <c r="N26" s="37"/>
      <c r="O26" s="37"/>
      <c r="P26" s="37"/>
      <c r="Q26" s="37"/>
    </row>
    <row r="27" ht="22.5" customHeight="1">
      <c r="A27" s="10">
        <v>46181.82743813658</v>
      </c>
      <c r="B27" s="30">
        <v>0.0</v>
      </c>
      <c r="C27" s="15" t="s">
        <v>42</v>
      </c>
      <c r="D27" s="15" t="s">
        <v>70</v>
      </c>
      <c r="E27" s="15">
        <v>2.0</v>
      </c>
      <c r="F27" s="17"/>
      <c r="G27" s="17"/>
      <c r="H27" s="27" t="s">
        <v>252</v>
      </c>
      <c r="I27" s="15">
        <v>60.0</v>
      </c>
      <c r="J27" s="15">
        <v>120.0</v>
      </c>
      <c r="K27" s="10">
        <v>46178.0</v>
      </c>
      <c r="L27" s="37"/>
      <c r="M27" s="37"/>
      <c r="N27" s="37"/>
      <c r="O27" s="37"/>
      <c r="P27" s="37"/>
      <c r="Q27" s="37"/>
    </row>
    <row r="28" ht="22.5" customHeight="1">
      <c r="A28" s="10">
        <v>46181.82962716435</v>
      </c>
      <c r="B28" s="30">
        <v>0.0</v>
      </c>
      <c r="C28" s="15" t="s">
        <v>57</v>
      </c>
      <c r="D28" s="15" t="s">
        <v>70</v>
      </c>
      <c r="E28" s="15">
        <v>15.0</v>
      </c>
      <c r="F28" s="17"/>
      <c r="G28" s="17"/>
      <c r="H28" s="27" t="s">
        <v>252</v>
      </c>
      <c r="I28" s="15">
        <v>50.0</v>
      </c>
      <c r="J28" s="15">
        <v>750.0</v>
      </c>
      <c r="K28" s="10">
        <v>46178.0</v>
      </c>
      <c r="L28" s="37"/>
      <c r="M28" s="37"/>
      <c r="N28" s="37"/>
      <c r="O28" s="37"/>
      <c r="P28" s="37"/>
      <c r="Q28" s="37"/>
    </row>
    <row r="29" ht="22.5" customHeight="1">
      <c r="A29" s="10">
        <v>46181.83024657407</v>
      </c>
      <c r="B29" s="30">
        <v>0.0</v>
      </c>
      <c r="C29" s="15" t="s">
        <v>21</v>
      </c>
      <c r="D29" s="15" t="s">
        <v>239</v>
      </c>
      <c r="E29" s="15">
        <v>10.0</v>
      </c>
      <c r="F29" s="17"/>
      <c r="G29" s="17"/>
      <c r="H29" s="27" t="s">
        <v>252</v>
      </c>
      <c r="I29" s="15">
        <v>6.0</v>
      </c>
      <c r="J29" s="15">
        <v>60.0</v>
      </c>
      <c r="K29" s="10">
        <v>46178.0</v>
      </c>
      <c r="L29" s="37"/>
      <c r="M29" s="37"/>
      <c r="N29" s="37"/>
      <c r="O29" s="37"/>
      <c r="P29" s="37"/>
      <c r="Q29" s="37"/>
    </row>
    <row r="30" ht="22.5" customHeight="1">
      <c r="A30" s="10">
        <v>46181.83189605324</v>
      </c>
      <c r="B30" s="30">
        <v>0.0</v>
      </c>
      <c r="C30" s="15" t="s">
        <v>261</v>
      </c>
      <c r="D30" s="15" t="s">
        <v>70</v>
      </c>
      <c r="E30" s="15">
        <v>1.0</v>
      </c>
      <c r="F30" s="17"/>
      <c r="G30" s="17"/>
      <c r="H30" s="27" t="s">
        <v>252</v>
      </c>
      <c r="I30" s="15">
        <v>240.0</v>
      </c>
      <c r="J30" s="15">
        <v>240.0</v>
      </c>
      <c r="K30" s="10">
        <v>46178.0</v>
      </c>
      <c r="L30" s="37"/>
      <c r="M30" s="37"/>
      <c r="N30" s="37"/>
      <c r="O30" s="37"/>
      <c r="P30" s="37"/>
      <c r="Q30" s="37"/>
    </row>
    <row r="31" ht="22.5" customHeight="1">
      <c r="A31" s="10">
        <v>46181.83266006944</v>
      </c>
      <c r="B31" s="30">
        <v>0.0</v>
      </c>
      <c r="C31" s="15" t="s">
        <v>10</v>
      </c>
      <c r="D31" s="15" t="s">
        <v>70</v>
      </c>
      <c r="E31" s="15">
        <v>50.0</v>
      </c>
      <c r="F31" s="17"/>
      <c r="G31" s="17"/>
      <c r="H31" s="27" t="s">
        <v>252</v>
      </c>
      <c r="I31" s="15">
        <v>25.0</v>
      </c>
      <c r="J31" s="15">
        <v>1250.0</v>
      </c>
      <c r="K31" s="10">
        <v>46178.0</v>
      </c>
      <c r="L31" s="37"/>
      <c r="M31" s="37"/>
      <c r="N31" s="37"/>
      <c r="O31" s="37"/>
      <c r="P31" s="37"/>
      <c r="Q31" s="37"/>
    </row>
    <row r="32" ht="22.5" customHeight="1">
      <c r="A32" s="10">
        <v>46181.83266006944</v>
      </c>
      <c r="B32" s="30">
        <v>0.0</v>
      </c>
      <c r="C32" s="15" t="s">
        <v>18</v>
      </c>
      <c r="D32" s="15" t="s">
        <v>70</v>
      </c>
      <c r="E32" s="15">
        <v>50.0</v>
      </c>
      <c r="F32" s="17"/>
      <c r="G32" s="17"/>
      <c r="H32" s="27" t="s">
        <v>252</v>
      </c>
      <c r="I32" s="15">
        <v>30.0</v>
      </c>
      <c r="J32" s="15">
        <v>1500.0</v>
      </c>
      <c r="K32" s="10">
        <v>46178.0</v>
      </c>
      <c r="L32" s="37"/>
      <c r="M32" s="37"/>
      <c r="N32" s="37"/>
      <c r="O32" s="37"/>
      <c r="P32" s="37"/>
      <c r="Q32" s="37"/>
    </row>
    <row r="33" ht="22.5" customHeight="1">
      <c r="A33" s="55">
        <v>46181.83266006944</v>
      </c>
      <c r="B33" s="26"/>
      <c r="C33" s="52" t="s">
        <v>260</v>
      </c>
      <c r="D33" s="27"/>
      <c r="E33" s="27"/>
      <c r="F33" s="49"/>
      <c r="G33" s="49"/>
      <c r="H33" s="27"/>
      <c r="I33" s="27"/>
      <c r="J33" s="52">
        <f>SUM(J22:J32)</f>
        <v>7070</v>
      </c>
      <c r="K33" s="5"/>
      <c r="L33" s="37"/>
      <c r="M33" s="37"/>
      <c r="N33" s="37"/>
      <c r="O33" s="37"/>
      <c r="P33" s="37"/>
      <c r="Q33" s="37"/>
    </row>
    <row r="34" ht="22.5" customHeight="1">
      <c r="A34" s="55">
        <v>46182.0</v>
      </c>
      <c r="B34" s="30">
        <v>0.0</v>
      </c>
      <c r="C34" s="15" t="s">
        <v>53</v>
      </c>
      <c r="D34" s="15" t="s">
        <v>259</v>
      </c>
      <c r="E34" s="15">
        <v>6.0</v>
      </c>
      <c r="F34" s="17"/>
      <c r="G34" s="17"/>
      <c r="H34" s="27" t="s">
        <v>252</v>
      </c>
      <c r="I34" s="15">
        <v>30.0</v>
      </c>
      <c r="J34" s="15">
        <v>180.0</v>
      </c>
      <c r="K34" s="10">
        <v>46180.0</v>
      </c>
      <c r="L34" s="37"/>
      <c r="M34" s="37"/>
      <c r="N34" s="37"/>
      <c r="O34" s="37"/>
      <c r="P34" s="37"/>
      <c r="Q34" s="37"/>
    </row>
    <row r="35" ht="22.5" customHeight="1">
      <c r="A35" s="55">
        <v>46182.0</v>
      </c>
      <c r="B35" s="30">
        <v>0.0</v>
      </c>
      <c r="C35" s="15" t="s">
        <v>98</v>
      </c>
      <c r="D35" s="15" t="s">
        <v>239</v>
      </c>
      <c r="E35" s="17"/>
      <c r="F35" s="17"/>
      <c r="G35" s="17"/>
      <c r="H35" s="27" t="s">
        <v>252</v>
      </c>
      <c r="I35" s="15">
        <v>1.0</v>
      </c>
      <c r="J35" s="15">
        <v>400.0</v>
      </c>
      <c r="K35" s="10">
        <v>46180.0</v>
      </c>
      <c r="L35" s="37"/>
      <c r="M35" s="37"/>
      <c r="N35" s="37"/>
      <c r="O35" s="37"/>
      <c r="P35" s="37"/>
      <c r="Q35" s="37"/>
    </row>
    <row r="36" ht="22.5" customHeight="1">
      <c r="A36" s="55">
        <v>46182.0</v>
      </c>
      <c r="B36" s="30">
        <v>0.0</v>
      </c>
      <c r="C36" s="15" t="s">
        <v>28</v>
      </c>
      <c r="D36" s="15" t="s">
        <v>253</v>
      </c>
      <c r="E36" s="15">
        <v>2.0</v>
      </c>
      <c r="F36" s="17"/>
      <c r="G36" s="17"/>
      <c r="H36" s="27" t="s">
        <v>252</v>
      </c>
      <c r="I36" s="15">
        <v>1200.0</v>
      </c>
      <c r="J36" s="15">
        <v>2400.0</v>
      </c>
      <c r="K36" s="10">
        <v>46180.0</v>
      </c>
    </row>
    <row r="37" ht="22.5" customHeight="1">
      <c r="A37" s="55">
        <v>46182.0</v>
      </c>
      <c r="B37" s="30">
        <v>0.0</v>
      </c>
      <c r="C37" s="15" t="s">
        <v>61</v>
      </c>
      <c r="D37" s="15" t="s">
        <v>259</v>
      </c>
      <c r="E37" s="15">
        <v>30.0</v>
      </c>
      <c r="F37" s="17"/>
      <c r="G37" s="17"/>
      <c r="H37" s="27" t="s">
        <v>252</v>
      </c>
      <c r="I37" s="15">
        <v>10.0</v>
      </c>
      <c r="J37" s="15">
        <v>300.0</v>
      </c>
      <c r="K37" s="10">
        <v>46180.0</v>
      </c>
    </row>
    <row r="38" ht="22.5" customHeight="1">
      <c r="A38" s="55">
        <v>46182.0</v>
      </c>
      <c r="B38" s="30">
        <v>0.0</v>
      </c>
      <c r="C38" s="15" t="s">
        <v>40</v>
      </c>
      <c r="D38" s="15" t="s">
        <v>70</v>
      </c>
      <c r="E38" s="15">
        <v>10.0</v>
      </c>
      <c r="F38" s="17"/>
      <c r="G38" s="17"/>
      <c r="H38" s="27" t="s">
        <v>252</v>
      </c>
      <c r="I38" s="15">
        <v>40.0</v>
      </c>
      <c r="J38" s="15">
        <v>400.0</v>
      </c>
      <c r="K38" s="10">
        <v>46180.0</v>
      </c>
    </row>
    <row r="39" ht="22.5" customHeight="1">
      <c r="A39" s="55">
        <v>46182.0</v>
      </c>
      <c r="B39" s="30">
        <v>0.0</v>
      </c>
      <c r="C39" s="15" t="s">
        <v>262</v>
      </c>
      <c r="D39" s="15" t="s">
        <v>259</v>
      </c>
      <c r="E39" s="15">
        <v>2.0</v>
      </c>
      <c r="F39" s="17"/>
      <c r="G39" s="17"/>
      <c r="H39" s="27" t="s">
        <v>252</v>
      </c>
      <c r="I39" s="15">
        <v>125.0</v>
      </c>
      <c r="J39" s="15">
        <v>250.0</v>
      </c>
      <c r="K39" s="10">
        <v>46180.0</v>
      </c>
    </row>
    <row r="40" ht="22.5" customHeight="1">
      <c r="A40" s="55">
        <v>46182.0</v>
      </c>
      <c r="B40" s="30">
        <v>0.0</v>
      </c>
      <c r="C40" s="15" t="s">
        <v>76</v>
      </c>
      <c r="D40" s="15" t="s">
        <v>239</v>
      </c>
      <c r="E40" s="15">
        <v>30.0</v>
      </c>
      <c r="F40" s="17"/>
      <c r="G40" s="17"/>
      <c r="H40" s="27" t="s">
        <v>252</v>
      </c>
      <c r="I40" s="15">
        <v>8.0</v>
      </c>
      <c r="J40" s="15">
        <v>240.0</v>
      </c>
      <c r="K40" s="10">
        <v>46180.0</v>
      </c>
    </row>
    <row r="41" ht="22.5" customHeight="1">
      <c r="A41" s="55">
        <v>46182.0</v>
      </c>
      <c r="B41" s="30">
        <v>0.0</v>
      </c>
      <c r="C41" s="15" t="s">
        <v>99</v>
      </c>
      <c r="D41" s="15" t="s">
        <v>70</v>
      </c>
      <c r="E41" s="15">
        <v>3.0</v>
      </c>
      <c r="F41" s="17"/>
      <c r="G41" s="17"/>
      <c r="H41" s="27" t="s">
        <v>252</v>
      </c>
      <c r="I41" s="15">
        <v>40.0</v>
      </c>
      <c r="J41" s="15">
        <v>120.0</v>
      </c>
      <c r="K41" s="10">
        <v>46180.0</v>
      </c>
    </row>
    <row r="42" ht="22.5" customHeight="1">
      <c r="A42" s="55">
        <v>46182.0</v>
      </c>
      <c r="B42" s="30">
        <v>0.0</v>
      </c>
      <c r="C42" s="15" t="s">
        <v>15</v>
      </c>
      <c r="D42" s="15" t="s">
        <v>70</v>
      </c>
      <c r="E42" s="15">
        <v>5.0</v>
      </c>
      <c r="F42" s="17"/>
      <c r="G42" s="17"/>
      <c r="H42" s="27" t="s">
        <v>252</v>
      </c>
      <c r="I42" s="15">
        <v>50.0</v>
      </c>
      <c r="J42" s="15">
        <v>250.0</v>
      </c>
      <c r="K42" s="10">
        <v>46180.0</v>
      </c>
    </row>
    <row r="43" ht="22.5" customHeight="1">
      <c r="A43" s="55">
        <v>46182.0</v>
      </c>
      <c r="B43" s="30">
        <v>0.0</v>
      </c>
      <c r="C43" s="15" t="s">
        <v>42</v>
      </c>
      <c r="D43" s="15" t="s">
        <v>70</v>
      </c>
      <c r="E43" s="15">
        <v>1.0</v>
      </c>
      <c r="F43" s="17"/>
      <c r="G43" s="17"/>
      <c r="H43" s="27" t="s">
        <v>252</v>
      </c>
      <c r="I43" s="15">
        <v>60.0</v>
      </c>
      <c r="J43" s="15">
        <v>60.0</v>
      </c>
      <c r="K43" s="10">
        <v>46180.0</v>
      </c>
    </row>
    <row r="44" ht="22.5" customHeight="1">
      <c r="A44" s="55">
        <v>46182.0</v>
      </c>
      <c r="B44" s="30">
        <v>0.0</v>
      </c>
      <c r="C44" s="15" t="s">
        <v>258</v>
      </c>
      <c r="D44" s="17"/>
      <c r="E44" s="15">
        <v>0.0</v>
      </c>
      <c r="F44" s="17"/>
      <c r="G44" s="17"/>
      <c r="H44" s="17"/>
      <c r="I44" s="17"/>
      <c r="J44" s="15">
        <v>600.0</v>
      </c>
      <c r="K44" s="33"/>
    </row>
    <row r="45" ht="22.5" customHeight="1">
      <c r="A45" s="55">
        <v>46182.0</v>
      </c>
      <c r="B45" s="26"/>
      <c r="C45" s="52" t="s">
        <v>260</v>
      </c>
      <c r="D45" s="27"/>
      <c r="E45" s="27"/>
      <c r="F45" s="49"/>
      <c r="G45" s="49"/>
      <c r="H45" s="27"/>
      <c r="I45" s="27"/>
      <c r="J45" s="52">
        <f>SUM(J34:J44)</f>
        <v>5200</v>
      </c>
      <c r="K45" s="5"/>
      <c r="L45" s="37"/>
      <c r="M45" s="37"/>
      <c r="N45" s="37"/>
      <c r="O45" s="37"/>
      <c r="P45" s="37"/>
      <c r="Q45" s="37"/>
    </row>
    <row r="46" ht="22.5" customHeight="1">
      <c r="A46" s="55">
        <v>46182.0</v>
      </c>
      <c r="B46" s="30">
        <v>0.0</v>
      </c>
      <c r="C46" s="15" t="s">
        <v>263</v>
      </c>
      <c r="D46" s="15" t="s">
        <v>259</v>
      </c>
      <c r="E46" s="15">
        <v>90.0</v>
      </c>
      <c r="F46" s="17"/>
      <c r="G46" s="17"/>
      <c r="H46" s="15" t="s">
        <v>264</v>
      </c>
      <c r="I46" s="15">
        <v>20.0</v>
      </c>
      <c r="J46" s="54">
        <v>1800.0</v>
      </c>
      <c r="K46" s="10">
        <v>46182.0</v>
      </c>
      <c r="L46" s="37"/>
      <c r="M46" s="37"/>
      <c r="N46" s="37"/>
      <c r="O46" s="37"/>
      <c r="P46" s="37"/>
      <c r="Q46" s="37"/>
    </row>
    <row r="47" ht="22.5" customHeight="1">
      <c r="A47" s="55">
        <v>46182.0</v>
      </c>
      <c r="B47" s="30">
        <v>0.0</v>
      </c>
      <c r="C47" s="15" t="s">
        <v>37</v>
      </c>
      <c r="D47" s="15" t="s">
        <v>259</v>
      </c>
      <c r="E47" s="15">
        <v>240.0</v>
      </c>
      <c r="F47" s="17"/>
      <c r="G47" s="17"/>
      <c r="H47" s="15" t="s">
        <v>265</v>
      </c>
      <c r="I47" s="15">
        <v>6.0</v>
      </c>
      <c r="J47" s="54">
        <v>1440.0</v>
      </c>
      <c r="K47" s="10">
        <v>46182.0</v>
      </c>
      <c r="L47" s="37"/>
      <c r="M47" s="37"/>
      <c r="N47" s="37"/>
      <c r="O47" s="37"/>
      <c r="P47" s="37"/>
      <c r="Q47" s="37"/>
    </row>
    <row r="48" ht="22.5" customHeight="1">
      <c r="A48" s="10">
        <v>46188.832739143516</v>
      </c>
      <c r="B48" s="30">
        <v>0.0</v>
      </c>
      <c r="C48" s="15" t="s">
        <v>10</v>
      </c>
      <c r="D48" s="15" t="s">
        <v>70</v>
      </c>
      <c r="E48" s="15">
        <v>50.0</v>
      </c>
      <c r="F48" s="17"/>
      <c r="G48" s="17"/>
      <c r="H48" s="17"/>
      <c r="I48" s="17"/>
      <c r="J48" s="15">
        <v>1350.0</v>
      </c>
      <c r="K48" s="10">
        <v>46183.0</v>
      </c>
    </row>
    <row r="49" ht="22.5" customHeight="1">
      <c r="A49" s="10">
        <v>46188.83371304398</v>
      </c>
      <c r="B49" s="30">
        <v>0.0</v>
      </c>
      <c r="C49" s="15" t="s">
        <v>255</v>
      </c>
      <c r="D49" s="15" t="s">
        <v>70</v>
      </c>
      <c r="E49" s="15">
        <v>5.0</v>
      </c>
      <c r="F49" s="17"/>
      <c r="G49" s="17"/>
      <c r="H49" s="17"/>
      <c r="I49" s="15">
        <v>40.0</v>
      </c>
      <c r="J49" s="15">
        <v>200.0</v>
      </c>
      <c r="K49" s="10">
        <v>46183.0</v>
      </c>
    </row>
    <row r="50" ht="22.5" customHeight="1">
      <c r="A50" s="10">
        <v>46188.83494347222</v>
      </c>
      <c r="B50" s="30">
        <v>0.0</v>
      </c>
      <c r="C50" s="15" t="s">
        <v>57</v>
      </c>
      <c r="D50" s="15" t="s">
        <v>70</v>
      </c>
      <c r="E50" s="15">
        <v>6.0</v>
      </c>
      <c r="F50" s="17"/>
      <c r="G50" s="17"/>
      <c r="H50" s="17"/>
      <c r="I50" s="15">
        <v>50.0</v>
      </c>
      <c r="J50" s="15">
        <v>300.0</v>
      </c>
      <c r="K50" s="10">
        <v>46183.0</v>
      </c>
    </row>
    <row r="51" ht="22.5" customHeight="1">
      <c r="A51" s="10">
        <v>46188.83615533565</v>
      </c>
      <c r="B51" s="30">
        <v>0.0</v>
      </c>
      <c r="C51" s="15" t="s">
        <v>61</v>
      </c>
      <c r="D51" s="15" t="s">
        <v>259</v>
      </c>
      <c r="E51" s="15">
        <v>30.0</v>
      </c>
      <c r="F51" s="17"/>
      <c r="G51" s="17"/>
      <c r="H51" s="17"/>
      <c r="I51" s="15">
        <v>13.0</v>
      </c>
      <c r="J51" s="15">
        <v>400.0</v>
      </c>
      <c r="K51" s="10">
        <v>46183.0</v>
      </c>
    </row>
    <row r="52" ht="22.5" customHeight="1">
      <c r="A52" s="10">
        <v>46188.83750400463</v>
      </c>
      <c r="B52" s="30">
        <v>0.0</v>
      </c>
      <c r="C52" s="15" t="s">
        <v>53</v>
      </c>
      <c r="D52" s="15" t="s">
        <v>259</v>
      </c>
      <c r="E52" s="15">
        <v>5.0</v>
      </c>
      <c r="F52" s="17"/>
      <c r="G52" s="17"/>
      <c r="H52" s="17"/>
      <c r="I52" s="15">
        <v>100.0</v>
      </c>
      <c r="J52" s="15">
        <v>500.0</v>
      </c>
      <c r="K52" s="10">
        <v>46183.0</v>
      </c>
    </row>
    <row r="53" ht="22.5" customHeight="1">
      <c r="A53" s="10">
        <v>46188.83912372685</v>
      </c>
      <c r="B53" s="30">
        <v>0.0</v>
      </c>
      <c r="C53" s="15" t="s">
        <v>76</v>
      </c>
      <c r="D53" s="15" t="s">
        <v>259</v>
      </c>
      <c r="E53" s="15">
        <v>50.0</v>
      </c>
      <c r="F53" s="17"/>
      <c r="G53" s="17"/>
      <c r="H53" s="17"/>
      <c r="I53" s="15">
        <v>9.0</v>
      </c>
      <c r="J53" s="15">
        <v>450.0</v>
      </c>
      <c r="K53" s="10">
        <v>46183.0</v>
      </c>
    </row>
    <row r="54" ht="22.5" customHeight="1">
      <c r="A54" s="10">
        <v>46188.840511284725</v>
      </c>
      <c r="B54" s="30">
        <v>0.0</v>
      </c>
      <c r="C54" s="15" t="s">
        <v>98</v>
      </c>
      <c r="D54" s="15" t="s">
        <v>259</v>
      </c>
      <c r="E54" s="15">
        <v>50.0</v>
      </c>
      <c r="F54" s="17"/>
      <c r="G54" s="17"/>
      <c r="H54" s="17"/>
      <c r="I54" s="15">
        <v>10.0</v>
      </c>
      <c r="J54" s="15">
        <v>500.0</v>
      </c>
      <c r="K54" s="10">
        <v>46183.0</v>
      </c>
    </row>
    <row r="55" ht="22.5" customHeight="1">
      <c r="A55" s="10">
        <v>46188.8414899537</v>
      </c>
      <c r="B55" s="30">
        <v>0.0</v>
      </c>
      <c r="C55" s="15" t="s">
        <v>15</v>
      </c>
      <c r="D55" s="15" t="s">
        <v>70</v>
      </c>
      <c r="E55" s="15">
        <v>12.0</v>
      </c>
      <c r="F55" s="17"/>
      <c r="G55" s="17"/>
      <c r="H55" s="17"/>
      <c r="I55" s="15">
        <v>50.0</v>
      </c>
      <c r="J55" s="15">
        <v>600.0</v>
      </c>
      <c r="K55" s="10">
        <v>46183.0</v>
      </c>
    </row>
    <row r="56" ht="22.5" customHeight="1">
      <c r="A56" s="10">
        <v>46188.84217767361</v>
      </c>
      <c r="B56" s="30">
        <v>0.0</v>
      </c>
      <c r="C56" s="15" t="s">
        <v>23</v>
      </c>
      <c r="D56" s="15" t="s">
        <v>239</v>
      </c>
      <c r="E56" s="15">
        <v>6.0</v>
      </c>
      <c r="F56" s="17"/>
      <c r="G56" s="17"/>
      <c r="H56" s="17"/>
      <c r="I56" s="15">
        <v>30.0</v>
      </c>
      <c r="J56" s="15">
        <v>180.0</v>
      </c>
      <c r="K56" s="10">
        <v>46183.0</v>
      </c>
    </row>
    <row r="57" ht="22.5" customHeight="1">
      <c r="A57" s="10">
        <v>46188.84357625</v>
      </c>
      <c r="B57" s="30">
        <v>0.0</v>
      </c>
      <c r="C57" s="15" t="s">
        <v>42</v>
      </c>
      <c r="D57" s="15" t="s">
        <v>70</v>
      </c>
      <c r="E57" s="15">
        <v>2.0</v>
      </c>
      <c r="F57" s="17"/>
      <c r="G57" s="17"/>
      <c r="H57" s="17"/>
      <c r="I57" s="15">
        <v>50.0</v>
      </c>
      <c r="J57" s="15">
        <v>100.0</v>
      </c>
      <c r="K57" s="10">
        <v>46183.0</v>
      </c>
    </row>
    <row r="58" ht="22.5" customHeight="1">
      <c r="A58" s="10">
        <v>46188.84415872685</v>
      </c>
      <c r="B58" s="30">
        <v>0.0</v>
      </c>
      <c r="C58" s="15" t="s">
        <v>28</v>
      </c>
      <c r="D58" s="15" t="s">
        <v>253</v>
      </c>
      <c r="E58" s="15">
        <v>1.0</v>
      </c>
      <c r="F58" s="17"/>
      <c r="G58" s="17"/>
      <c r="H58" s="17"/>
      <c r="I58" s="15">
        <v>1250.0</v>
      </c>
      <c r="J58" s="15">
        <v>1250.0</v>
      </c>
      <c r="K58" s="10">
        <v>46183.0</v>
      </c>
    </row>
    <row r="59" ht="22.5" customHeight="1">
      <c r="A59" s="10">
        <v>46188.84513503472</v>
      </c>
      <c r="B59" s="30">
        <v>0.0</v>
      </c>
      <c r="C59" s="15" t="s">
        <v>31</v>
      </c>
      <c r="D59" s="15" t="s">
        <v>70</v>
      </c>
      <c r="E59" s="15">
        <v>5.0</v>
      </c>
      <c r="F59" s="17"/>
      <c r="G59" s="17"/>
      <c r="H59" s="17"/>
      <c r="I59" s="15">
        <v>150.0</v>
      </c>
      <c r="J59" s="15">
        <v>750.0</v>
      </c>
      <c r="K59" s="10">
        <v>46183.0</v>
      </c>
    </row>
    <row r="60" ht="22.5" customHeight="1">
      <c r="A60" s="10">
        <v>46188.84834114583</v>
      </c>
      <c r="B60" s="30">
        <v>0.0</v>
      </c>
      <c r="C60" s="15" t="s">
        <v>40</v>
      </c>
      <c r="D60" s="15" t="s">
        <v>70</v>
      </c>
      <c r="E60" s="15">
        <v>5.0</v>
      </c>
      <c r="F60" s="17"/>
      <c r="G60" s="17"/>
      <c r="H60" s="17"/>
      <c r="I60" s="15">
        <v>50.0</v>
      </c>
      <c r="J60" s="15">
        <v>250.0</v>
      </c>
      <c r="K60" s="10">
        <v>46183.0</v>
      </c>
    </row>
    <row r="61" ht="22.5" customHeight="1">
      <c r="A61" s="10">
        <v>46188.84908381944</v>
      </c>
      <c r="B61" s="30">
        <v>0.0</v>
      </c>
      <c r="C61" s="15" t="s">
        <v>258</v>
      </c>
      <c r="D61" s="17"/>
      <c r="E61" s="15">
        <v>0.0</v>
      </c>
      <c r="F61" s="17"/>
      <c r="G61" s="17"/>
      <c r="H61" s="17"/>
      <c r="I61" s="17"/>
      <c r="J61" s="15">
        <v>300.0</v>
      </c>
      <c r="K61" s="10">
        <v>46183.0</v>
      </c>
    </row>
    <row r="62" ht="22.5" customHeight="1">
      <c r="A62" s="10">
        <v>46188.85156060185</v>
      </c>
      <c r="B62" s="30">
        <v>0.0</v>
      </c>
      <c r="C62" s="15" t="s">
        <v>57</v>
      </c>
      <c r="D62" s="15" t="s">
        <v>70</v>
      </c>
      <c r="E62" s="15">
        <v>12.0</v>
      </c>
      <c r="F62" s="17"/>
      <c r="G62" s="17"/>
      <c r="H62" s="17"/>
      <c r="I62" s="15">
        <v>55.0</v>
      </c>
      <c r="J62" s="15">
        <v>660.0</v>
      </c>
      <c r="K62" s="10">
        <v>46186.0</v>
      </c>
    </row>
    <row r="63" ht="22.5" customHeight="1">
      <c r="A63" s="10">
        <v>46188.85277247685</v>
      </c>
      <c r="B63" s="30">
        <v>0.0</v>
      </c>
      <c r="C63" s="15" t="s">
        <v>28</v>
      </c>
      <c r="D63" s="15" t="s">
        <v>253</v>
      </c>
      <c r="E63" s="15">
        <v>1.0</v>
      </c>
      <c r="F63" s="17"/>
      <c r="G63" s="17"/>
      <c r="H63" s="17"/>
      <c r="I63" s="15">
        <v>1200.0</v>
      </c>
      <c r="J63" s="15">
        <v>1200.0</v>
      </c>
      <c r="K63" s="10">
        <v>46186.0</v>
      </c>
    </row>
    <row r="64" ht="22.5" customHeight="1">
      <c r="A64" s="10">
        <v>46188.8536508449</v>
      </c>
      <c r="B64" s="30">
        <v>0.0</v>
      </c>
      <c r="C64" s="15" t="s">
        <v>15</v>
      </c>
      <c r="D64" s="15" t="s">
        <v>70</v>
      </c>
      <c r="E64" s="15">
        <v>5.0</v>
      </c>
      <c r="F64" s="17"/>
      <c r="G64" s="17"/>
      <c r="H64" s="17"/>
      <c r="I64" s="15">
        <v>50.0</v>
      </c>
      <c r="J64" s="15">
        <v>250.0</v>
      </c>
      <c r="K64" s="10">
        <v>46186.0</v>
      </c>
    </row>
    <row r="65" ht="22.5" customHeight="1">
      <c r="A65" s="10">
        <v>46188.85471986111</v>
      </c>
      <c r="B65" s="30">
        <v>0.0</v>
      </c>
      <c r="C65" s="15" t="s">
        <v>31</v>
      </c>
      <c r="D65" s="15" t="s">
        <v>70</v>
      </c>
      <c r="E65" s="15">
        <v>10.0</v>
      </c>
      <c r="F65" s="17"/>
      <c r="G65" s="17"/>
      <c r="H65" s="17"/>
      <c r="I65" s="15">
        <v>160.0</v>
      </c>
      <c r="J65" s="15">
        <v>1600.0</v>
      </c>
      <c r="K65" s="10">
        <v>46186.0</v>
      </c>
    </row>
    <row r="66" ht="22.5" customHeight="1">
      <c r="A66" s="10">
        <v>46188.8551969213</v>
      </c>
      <c r="B66" s="30">
        <v>0.0</v>
      </c>
      <c r="C66" s="15" t="s">
        <v>32</v>
      </c>
      <c r="D66" s="15" t="s">
        <v>70</v>
      </c>
      <c r="E66" s="15">
        <v>10.0</v>
      </c>
      <c r="F66" s="17"/>
      <c r="G66" s="17"/>
      <c r="H66" s="17"/>
      <c r="I66" s="15">
        <v>120.0</v>
      </c>
      <c r="J66" s="15">
        <v>1200.0</v>
      </c>
      <c r="K66" s="10">
        <v>46186.0</v>
      </c>
    </row>
    <row r="67" ht="22.5" customHeight="1">
      <c r="A67" s="10">
        <v>46188.856919224534</v>
      </c>
      <c r="B67" s="30">
        <v>0.0</v>
      </c>
      <c r="C67" s="15" t="s">
        <v>10</v>
      </c>
      <c r="D67" s="15" t="s">
        <v>70</v>
      </c>
      <c r="E67" s="15">
        <v>100.0</v>
      </c>
      <c r="F67" s="17"/>
      <c r="G67" s="17"/>
      <c r="H67" s="17"/>
      <c r="I67" s="15">
        <v>26.0</v>
      </c>
      <c r="J67" s="15">
        <v>2600.0</v>
      </c>
      <c r="K67" s="10">
        <v>46186.0</v>
      </c>
    </row>
    <row r="68" ht="22.5" customHeight="1">
      <c r="A68" s="10">
        <v>46188.85790739583</v>
      </c>
      <c r="B68" s="30">
        <v>0.0</v>
      </c>
      <c r="C68" s="15" t="s">
        <v>98</v>
      </c>
      <c r="D68" s="15" t="s">
        <v>259</v>
      </c>
      <c r="E68" s="15">
        <v>50.0</v>
      </c>
      <c r="F68" s="17"/>
      <c r="G68" s="17"/>
      <c r="H68" s="17"/>
      <c r="I68" s="15">
        <v>10.0</v>
      </c>
      <c r="J68" s="15">
        <v>500.0</v>
      </c>
      <c r="K68" s="10">
        <v>46186.0</v>
      </c>
    </row>
    <row r="69" ht="22.5" customHeight="1">
      <c r="A69" s="10">
        <v>46188.85891200231</v>
      </c>
      <c r="B69" s="30">
        <v>0.0</v>
      </c>
      <c r="C69" s="15" t="s">
        <v>23</v>
      </c>
      <c r="D69" s="15" t="s">
        <v>239</v>
      </c>
      <c r="E69" s="15">
        <v>5.0</v>
      </c>
      <c r="F69" s="17"/>
      <c r="G69" s="17"/>
      <c r="H69" s="17"/>
      <c r="I69" s="15">
        <v>30.0</v>
      </c>
      <c r="J69" s="15">
        <v>150.0</v>
      </c>
      <c r="K69" s="10">
        <v>46186.0</v>
      </c>
    </row>
    <row r="70" ht="22.5" customHeight="1">
      <c r="A70" s="10">
        <v>46188.86003336805</v>
      </c>
      <c r="B70" s="30">
        <v>0.0</v>
      </c>
      <c r="C70" s="15" t="s">
        <v>21</v>
      </c>
      <c r="D70" s="15" t="s">
        <v>239</v>
      </c>
      <c r="E70" s="15">
        <v>6.0</v>
      </c>
      <c r="F70" s="17"/>
      <c r="G70" s="17"/>
      <c r="H70" s="17"/>
      <c r="I70" s="15">
        <v>5.0</v>
      </c>
      <c r="J70" s="15">
        <v>30.0</v>
      </c>
      <c r="K70" s="10">
        <v>46186.0</v>
      </c>
    </row>
    <row r="71" ht="22.5" customHeight="1">
      <c r="A71" s="10">
        <v>46188.86777696759</v>
      </c>
      <c r="B71" s="30">
        <v>0.0</v>
      </c>
      <c r="C71" s="15" t="s">
        <v>42</v>
      </c>
      <c r="D71" s="15" t="s">
        <v>70</v>
      </c>
      <c r="E71" s="15">
        <v>2.0</v>
      </c>
      <c r="F71" s="17"/>
      <c r="G71" s="17"/>
      <c r="H71" s="17"/>
      <c r="I71" s="15">
        <v>50.0</v>
      </c>
      <c r="J71" s="15">
        <v>100.0</v>
      </c>
      <c r="K71" s="10">
        <v>46186.0</v>
      </c>
    </row>
    <row r="72" ht="22.5" customHeight="1">
      <c r="A72" s="10">
        <v>46188.86853857639</v>
      </c>
      <c r="B72" s="30">
        <v>0.0</v>
      </c>
      <c r="C72" s="15" t="s">
        <v>40</v>
      </c>
      <c r="D72" s="15" t="s">
        <v>70</v>
      </c>
      <c r="E72" s="15">
        <v>10.0</v>
      </c>
      <c r="F72" s="17"/>
      <c r="G72" s="17"/>
      <c r="H72" s="17"/>
      <c r="I72" s="15">
        <v>45.0</v>
      </c>
      <c r="J72" s="15">
        <v>450.0</v>
      </c>
      <c r="K72" s="10">
        <v>46186.0</v>
      </c>
    </row>
    <row r="73" ht="22.5" customHeight="1">
      <c r="A73" s="10">
        <v>46188.869303472224</v>
      </c>
      <c r="B73" s="30">
        <v>0.0</v>
      </c>
      <c r="C73" s="15" t="s">
        <v>22</v>
      </c>
      <c r="D73" s="15" t="s">
        <v>70</v>
      </c>
      <c r="E73" s="15">
        <v>5.0</v>
      </c>
      <c r="F73" s="17"/>
      <c r="G73" s="17"/>
      <c r="H73" s="17"/>
      <c r="I73" s="15">
        <v>50.0</v>
      </c>
      <c r="J73" s="15">
        <v>250.0</v>
      </c>
      <c r="K73" s="10">
        <v>46186.0</v>
      </c>
    </row>
    <row r="74" ht="22.5" customHeight="1">
      <c r="A74" s="10">
        <v>46188.87317805555</v>
      </c>
      <c r="B74" s="30">
        <v>0.0</v>
      </c>
      <c r="C74" s="15" t="s">
        <v>255</v>
      </c>
      <c r="D74" s="15" t="s">
        <v>70</v>
      </c>
      <c r="E74" s="15">
        <v>5.0</v>
      </c>
      <c r="F74" s="17"/>
      <c r="G74" s="17"/>
      <c r="H74" s="17"/>
      <c r="I74" s="15">
        <v>40.0</v>
      </c>
      <c r="J74" s="15">
        <v>200.0</v>
      </c>
      <c r="K74" s="10">
        <v>46186.0</v>
      </c>
    </row>
    <row r="75" ht="22.5" customHeight="1">
      <c r="A75" s="10">
        <v>46188.8745353125</v>
      </c>
      <c r="B75" s="30">
        <v>0.0</v>
      </c>
      <c r="C75" s="15" t="s">
        <v>99</v>
      </c>
      <c r="D75" s="15" t="s">
        <v>70</v>
      </c>
      <c r="E75" s="15">
        <v>5.0</v>
      </c>
      <c r="F75" s="17"/>
      <c r="G75" s="17"/>
      <c r="H75" s="17"/>
      <c r="I75" s="15">
        <v>50.0</v>
      </c>
      <c r="J75" s="15">
        <v>500.0</v>
      </c>
      <c r="K75" s="10">
        <v>46186.0</v>
      </c>
    </row>
    <row r="76" ht="22.5" customHeight="1">
      <c r="A76" s="10">
        <v>46188.87488491899</v>
      </c>
      <c r="B76" s="30">
        <v>0.0</v>
      </c>
      <c r="C76" s="15" t="s">
        <v>258</v>
      </c>
      <c r="D76" s="17"/>
      <c r="E76" s="15">
        <v>0.0</v>
      </c>
      <c r="F76" s="17"/>
      <c r="G76" s="17"/>
      <c r="H76" s="17"/>
      <c r="I76" s="17"/>
      <c r="J76" s="15">
        <v>300.0</v>
      </c>
      <c r="K76" s="10">
        <v>46186.0</v>
      </c>
    </row>
    <row r="77" ht="22.5" customHeight="1">
      <c r="A77" s="5"/>
      <c r="B77" s="26"/>
      <c r="C77" s="27"/>
      <c r="D77" s="27"/>
      <c r="E77" s="27"/>
      <c r="F77" s="49"/>
      <c r="G77" s="49"/>
      <c r="H77" s="27"/>
      <c r="I77" s="15"/>
      <c r="J77" s="27"/>
      <c r="K77" s="5"/>
      <c r="L77" s="37"/>
      <c r="M77" s="37"/>
      <c r="N77" s="37"/>
      <c r="O77" s="37"/>
      <c r="P77" s="37"/>
      <c r="Q77" s="37"/>
    </row>
    <row r="78" ht="22.5" customHeight="1">
      <c r="A78" s="5"/>
      <c r="B78" s="26"/>
      <c r="C78" s="27"/>
      <c r="D78" s="27"/>
      <c r="E78" s="27"/>
      <c r="F78" s="49"/>
      <c r="G78" s="49"/>
      <c r="H78" s="27"/>
      <c r="I78" s="27"/>
      <c r="J78" s="27"/>
      <c r="K78" s="5"/>
      <c r="L78" s="37"/>
      <c r="M78" s="37"/>
      <c r="N78" s="37"/>
      <c r="O78" s="37"/>
      <c r="P78" s="37"/>
      <c r="Q78" s="37"/>
    </row>
    <row r="79" ht="22.5" customHeight="1">
      <c r="A79" s="5"/>
      <c r="B79" s="26"/>
      <c r="C79" s="27"/>
      <c r="D79" s="27"/>
      <c r="E79" s="27"/>
      <c r="F79" s="49"/>
      <c r="G79" s="49"/>
      <c r="H79" s="27"/>
      <c r="I79" s="15"/>
      <c r="J79" s="27"/>
      <c r="K79" s="5"/>
      <c r="L79" s="37"/>
      <c r="M79" s="37"/>
      <c r="N79" s="37"/>
      <c r="O79" s="37"/>
      <c r="P79" s="37"/>
      <c r="Q79" s="37"/>
    </row>
    <row r="80" ht="22.5" customHeight="1">
      <c r="A80" s="5"/>
      <c r="B80" s="26"/>
      <c r="C80" s="27"/>
      <c r="D80" s="27"/>
      <c r="E80" s="27"/>
      <c r="F80" s="49"/>
      <c r="G80" s="49"/>
      <c r="H80" s="27"/>
      <c r="I80" s="27"/>
      <c r="J80" s="27"/>
      <c r="K80" s="5"/>
      <c r="L80" s="37"/>
      <c r="M80" s="37"/>
      <c r="N80" s="37"/>
      <c r="O80" s="37"/>
      <c r="P80" s="37"/>
      <c r="Q80" s="37"/>
    </row>
    <row r="81" ht="22.5" customHeight="1">
      <c r="A81" s="5"/>
      <c r="B81" s="26"/>
      <c r="C81" s="27"/>
      <c r="D81" s="27"/>
      <c r="E81" s="27"/>
      <c r="F81" s="49"/>
      <c r="G81" s="49"/>
      <c r="H81" s="27"/>
      <c r="I81" s="15"/>
      <c r="J81" s="27"/>
      <c r="K81" s="5"/>
      <c r="L81" s="37"/>
      <c r="M81" s="37"/>
      <c r="N81" s="37"/>
      <c r="O81" s="37"/>
      <c r="P81" s="37"/>
      <c r="Q81" s="37"/>
    </row>
    <row r="82" ht="22.5" customHeight="1">
      <c r="A82" s="5"/>
      <c r="B82" s="26"/>
      <c r="C82" s="27"/>
      <c r="D82" s="27"/>
      <c r="E82" s="27"/>
      <c r="F82" s="49"/>
      <c r="G82" s="49"/>
      <c r="H82" s="27"/>
      <c r="I82" s="27"/>
      <c r="J82" s="27"/>
      <c r="K82" s="5"/>
      <c r="L82" s="37"/>
      <c r="M82" s="37"/>
      <c r="N82" s="37"/>
      <c r="O82" s="37"/>
      <c r="P82" s="37"/>
      <c r="Q82" s="37"/>
    </row>
    <row r="83" ht="22.5" customHeight="1">
      <c r="A83" s="5"/>
      <c r="B83" s="26"/>
      <c r="C83" s="27"/>
      <c r="D83" s="27"/>
      <c r="E83" s="27"/>
      <c r="F83" s="49"/>
      <c r="G83" s="49"/>
      <c r="H83" s="27"/>
      <c r="I83" s="15"/>
      <c r="J83" s="27"/>
      <c r="K83" s="5"/>
      <c r="L83" s="37"/>
      <c r="M83" s="37"/>
      <c r="N83" s="37"/>
      <c r="O83" s="37"/>
      <c r="P83" s="37"/>
      <c r="Q83" s="37"/>
    </row>
    <row r="84" ht="22.5" customHeight="1">
      <c r="A84" s="5"/>
      <c r="B84" s="26"/>
      <c r="C84" s="27"/>
      <c r="D84" s="27"/>
      <c r="E84" s="27"/>
      <c r="F84" s="49"/>
      <c r="G84" s="49"/>
      <c r="H84" s="27"/>
      <c r="I84" s="27"/>
      <c r="J84" s="27"/>
      <c r="K84" s="5"/>
      <c r="L84" s="37"/>
      <c r="M84" s="37"/>
      <c r="N84" s="37"/>
      <c r="O84" s="37"/>
      <c r="P84" s="37"/>
      <c r="Q84" s="37"/>
    </row>
    <row r="85" ht="22.5" customHeight="1">
      <c r="A85" s="5"/>
      <c r="B85" s="26"/>
      <c r="C85" s="27"/>
      <c r="D85" s="27"/>
      <c r="E85" s="27"/>
      <c r="F85" s="49"/>
      <c r="G85" s="49"/>
      <c r="H85" s="27"/>
      <c r="I85" s="15"/>
      <c r="J85" s="27"/>
      <c r="K85" s="5"/>
      <c r="L85" s="37"/>
      <c r="M85" s="37"/>
      <c r="N85" s="37"/>
      <c r="O85" s="37"/>
      <c r="P85" s="37"/>
      <c r="Q85" s="37"/>
    </row>
    <row r="86" ht="22.5" customHeight="1">
      <c r="A86" s="5"/>
      <c r="B86" s="26"/>
      <c r="C86" s="27"/>
      <c r="D86" s="27"/>
      <c r="E86" s="27"/>
      <c r="F86" s="49"/>
      <c r="G86" s="49"/>
      <c r="H86" s="27"/>
      <c r="I86" s="27"/>
      <c r="J86" s="27"/>
      <c r="K86" s="5"/>
      <c r="L86" s="37"/>
      <c r="M86" s="37"/>
      <c r="N86" s="37"/>
      <c r="O86" s="37"/>
      <c r="P86" s="37"/>
      <c r="Q86" s="37"/>
    </row>
    <row r="87" ht="22.5" customHeight="1">
      <c r="A87" s="5"/>
      <c r="B87" s="26"/>
      <c r="C87" s="27"/>
      <c r="D87" s="27"/>
      <c r="E87" s="27"/>
      <c r="F87" s="49"/>
      <c r="G87" s="49"/>
      <c r="H87" s="27"/>
      <c r="I87" s="15"/>
      <c r="J87" s="27"/>
      <c r="K87" s="5"/>
      <c r="L87" s="37"/>
      <c r="M87" s="37"/>
      <c r="N87" s="37"/>
      <c r="O87" s="37"/>
      <c r="P87" s="37"/>
      <c r="Q87" s="37"/>
    </row>
    <row r="88" ht="22.5" customHeight="1">
      <c r="A88" s="5"/>
      <c r="B88" s="26"/>
      <c r="C88" s="27"/>
      <c r="D88" s="27"/>
      <c r="E88" s="27"/>
      <c r="F88" s="49"/>
      <c r="G88" s="49"/>
      <c r="H88" s="27"/>
      <c r="I88" s="27"/>
      <c r="J88" s="27"/>
      <c r="K88" s="5"/>
      <c r="L88" s="37"/>
      <c r="M88" s="37"/>
      <c r="N88" s="37"/>
      <c r="O88" s="37"/>
      <c r="P88" s="37"/>
      <c r="Q88" s="37"/>
    </row>
    <row r="89" ht="22.5" customHeight="1">
      <c r="A89" s="5"/>
      <c r="B89" s="26"/>
      <c r="C89" s="27"/>
      <c r="D89" s="27"/>
      <c r="E89" s="27"/>
      <c r="F89" s="49"/>
      <c r="G89" s="49"/>
      <c r="H89" s="27"/>
      <c r="I89" s="15"/>
      <c r="J89" s="27"/>
      <c r="K89" s="5"/>
      <c r="L89" s="37"/>
      <c r="M89" s="37"/>
      <c r="N89" s="37"/>
      <c r="O89" s="37"/>
      <c r="P89" s="37"/>
      <c r="Q89" s="37"/>
    </row>
    <row r="90" ht="22.5" customHeight="1">
      <c r="A90" s="5"/>
      <c r="B90" s="26"/>
      <c r="C90" s="27"/>
      <c r="D90" s="27"/>
      <c r="E90" s="27"/>
      <c r="F90" s="49"/>
      <c r="G90" s="49"/>
      <c r="H90" s="27"/>
      <c r="I90" s="27"/>
      <c r="J90" s="27"/>
      <c r="K90" s="5"/>
      <c r="L90" s="37"/>
      <c r="M90" s="37"/>
      <c r="N90" s="37"/>
      <c r="O90" s="37"/>
      <c r="P90" s="37"/>
      <c r="Q90" s="37"/>
    </row>
    <row r="91" ht="22.5" customHeight="1">
      <c r="A91" s="5"/>
      <c r="B91" s="26"/>
      <c r="C91" s="27"/>
      <c r="D91" s="27"/>
      <c r="E91" s="27"/>
      <c r="F91" s="49"/>
      <c r="G91" s="49"/>
      <c r="H91" s="27"/>
      <c r="I91" s="27"/>
      <c r="J91" s="27"/>
      <c r="K91" s="5"/>
      <c r="L91" s="37"/>
      <c r="M91" s="37"/>
      <c r="N91" s="37"/>
      <c r="O91" s="37"/>
      <c r="P91" s="37"/>
      <c r="Q91" s="37"/>
    </row>
    <row r="92" ht="22.5" customHeight="1">
      <c r="A92" s="5"/>
      <c r="B92" s="26"/>
      <c r="C92" s="27"/>
      <c r="D92" s="27"/>
      <c r="E92" s="27"/>
      <c r="F92" s="49"/>
      <c r="G92" s="49"/>
      <c r="H92" s="27"/>
      <c r="I92" s="27"/>
      <c r="J92" s="27"/>
      <c r="K92" s="5"/>
      <c r="L92" s="37"/>
      <c r="M92" s="37"/>
      <c r="N92" s="37"/>
      <c r="O92" s="37"/>
      <c r="P92" s="37"/>
      <c r="Q92" s="37"/>
    </row>
    <row r="93" ht="22.5" customHeight="1">
      <c r="A93" s="5"/>
      <c r="B93" s="26"/>
      <c r="C93" s="27"/>
      <c r="D93" s="27"/>
      <c r="E93" s="27"/>
      <c r="F93" s="49"/>
      <c r="G93" s="49"/>
      <c r="H93" s="27"/>
      <c r="I93" s="27"/>
      <c r="J93" s="27"/>
      <c r="K93" s="5"/>
      <c r="L93" s="37"/>
      <c r="M93" s="37"/>
      <c r="N93" s="37"/>
      <c r="O93" s="37"/>
      <c r="P93" s="37"/>
      <c r="Q93" s="37"/>
    </row>
    <row r="94" ht="22.5" customHeight="1">
      <c r="A94" s="5"/>
      <c r="B94" s="26"/>
      <c r="C94" s="27"/>
      <c r="D94" s="27"/>
      <c r="E94" s="27"/>
      <c r="F94" s="49"/>
      <c r="G94" s="49"/>
      <c r="H94" s="27"/>
      <c r="I94" s="27"/>
      <c r="J94" s="27"/>
      <c r="K94" s="5"/>
      <c r="L94" s="37"/>
      <c r="M94" s="37"/>
      <c r="N94" s="37"/>
      <c r="O94" s="37"/>
      <c r="P94" s="37"/>
      <c r="Q94" s="37"/>
    </row>
    <row r="95" ht="22.5" customHeight="1">
      <c r="A95" s="5"/>
      <c r="B95" s="26"/>
      <c r="C95" s="27"/>
      <c r="D95" s="27"/>
      <c r="E95" s="27"/>
      <c r="F95" s="49"/>
      <c r="G95" s="49"/>
      <c r="H95" s="27"/>
      <c r="I95" s="27"/>
      <c r="J95" s="27"/>
      <c r="K95" s="5"/>
      <c r="L95" s="37"/>
      <c r="M95" s="37"/>
      <c r="N95" s="37"/>
      <c r="O95" s="37"/>
      <c r="P95" s="37"/>
      <c r="Q95" s="37"/>
    </row>
    <row r="96" ht="22.5" customHeight="1">
      <c r="A96" s="5"/>
      <c r="B96" s="26"/>
      <c r="C96" s="27"/>
      <c r="D96" s="27"/>
      <c r="E96" s="27"/>
      <c r="F96" s="49"/>
      <c r="G96" s="49"/>
      <c r="H96" s="27"/>
      <c r="I96" s="27"/>
      <c r="J96" s="27"/>
      <c r="K96" s="5"/>
      <c r="L96" s="37"/>
      <c r="M96" s="37"/>
      <c r="N96" s="37"/>
      <c r="O96" s="37"/>
      <c r="P96" s="37"/>
      <c r="Q96" s="37"/>
    </row>
    <row r="97" ht="22.5" customHeight="1">
      <c r="A97" s="5"/>
      <c r="B97" s="26"/>
      <c r="C97" s="27"/>
      <c r="D97" s="27"/>
      <c r="E97" s="27"/>
      <c r="F97" s="49"/>
      <c r="G97" s="49"/>
      <c r="H97" s="27"/>
      <c r="I97" s="27"/>
      <c r="J97" s="27"/>
      <c r="K97" s="5"/>
      <c r="L97" s="37"/>
      <c r="M97" s="37"/>
      <c r="N97" s="37"/>
      <c r="O97" s="37"/>
      <c r="P97" s="37"/>
      <c r="Q97" s="37"/>
    </row>
    <row r="98" ht="22.5" customHeight="1">
      <c r="A98" s="5"/>
      <c r="B98" s="26"/>
      <c r="C98" s="27"/>
      <c r="D98" s="27"/>
      <c r="E98" s="27"/>
      <c r="F98" s="49"/>
      <c r="G98" s="49"/>
      <c r="H98" s="27"/>
      <c r="I98" s="27"/>
      <c r="J98" s="27"/>
      <c r="K98" s="5"/>
      <c r="L98" s="37"/>
      <c r="M98" s="37"/>
      <c r="N98" s="37"/>
      <c r="O98" s="37"/>
      <c r="P98" s="37"/>
      <c r="Q98" s="37"/>
    </row>
    <row r="99" ht="22.5" customHeight="1">
      <c r="A99" s="5"/>
      <c r="B99" s="26"/>
      <c r="C99" s="27"/>
      <c r="D99" s="27"/>
      <c r="E99" s="27"/>
      <c r="F99" s="49"/>
      <c r="G99" s="49"/>
      <c r="H99" s="27"/>
      <c r="I99" s="27"/>
      <c r="J99" s="27"/>
      <c r="K99" s="5"/>
      <c r="L99" s="37"/>
      <c r="M99" s="37"/>
      <c r="N99" s="37"/>
      <c r="O99" s="37"/>
      <c r="P99" s="37"/>
      <c r="Q99" s="37"/>
    </row>
    <row r="100" ht="22.5" customHeight="1">
      <c r="A100" s="5"/>
      <c r="B100" s="26"/>
      <c r="C100" s="27"/>
      <c r="D100" s="27"/>
      <c r="E100" s="27"/>
      <c r="F100" s="49"/>
      <c r="G100" s="49"/>
      <c r="H100" s="27"/>
      <c r="I100" s="27"/>
      <c r="J100" s="27"/>
      <c r="K100" s="5"/>
      <c r="L100" s="37"/>
      <c r="M100" s="37"/>
      <c r="N100" s="37"/>
      <c r="O100" s="37"/>
      <c r="P100" s="37"/>
      <c r="Q100" s="37"/>
    </row>
    <row r="101" ht="22.5" customHeight="1">
      <c r="A101" s="5"/>
      <c r="B101" s="26"/>
      <c r="C101" s="27"/>
      <c r="D101" s="27"/>
      <c r="E101" s="27"/>
      <c r="F101" s="49"/>
      <c r="G101" s="49"/>
      <c r="H101" s="27"/>
      <c r="I101" s="27"/>
      <c r="J101" s="27"/>
      <c r="K101" s="5"/>
      <c r="L101" s="37"/>
      <c r="M101" s="37"/>
      <c r="N101" s="37"/>
      <c r="O101" s="37"/>
      <c r="P101" s="37"/>
      <c r="Q101" s="37"/>
    </row>
    <row r="102" ht="22.5" customHeight="1">
      <c r="A102" s="5"/>
      <c r="B102" s="26"/>
      <c r="C102" s="27"/>
      <c r="D102" s="27"/>
      <c r="E102" s="27"/>
      <c r="F102" s="49"/>
      <c r="G102" s="49"/>
      <c r="H102" s="27"/>
      <c r="I102" s="27"/>
      <c r="J102" s="27"/>
      <c r="K102" s="5"/>
      <c r="L102" s="37"/>
      <c r="M102" s="37"/>
      <c r="N102" s="37"/>
      <c r="O102" s="37"/>
      <c r="P102" s="37"/>
      <c r="Q102" s="37"/>
    </row>
    <row r="103" ht="22.5" customHeight="1">
      <c r="A103" s="5"/>
      <c r="B103" s="26"/>
      <c r="C103" s="27"/>
      <c r="D103" s="27"/>
      <c r="E103" s="27"/>
      <c r="F103" s="49"/>
      <c r="G103" s="49"/>
      <c r="H103" s="27"/>
      <c r="I103" s="27"/>
      <c r="J103" s="27"/>
      <c r="K103" s="5"/>
      <c r="L103" s="37"/>
      <c r="M103" s="37"/>
      <c r="N103" s="37"/>
      <c r="O103" s="37"/>
      <c r="P103" s="37"/>
      <c r="Q103" s="37"/>
    </row>
    <row r="104" ht="22.5" customHeight="1">
      <c r="A104" s="5"/>
      <c r="B104" s="26"/>
      <c r="C104" s="27"/>
      <c r="D104" s="27"/>
      <c r="E104" s="27"/>
      <c r="F104" s="49"/>
      <c r="G104" s="49"/>
      <c r="H104" s="27"/>
      <c r="I104" s="27"/>
      <c r="J104" s="27"/>
      <c r="K104" s="5"/>
      <c r="L104" s="37"/>
      <c r="M104" s="37"/>
      <c r="N104" s="37"/>
      <c r="O104" s="37"/>
      <c r="P104" s="37"/>
      <c r="Q104" s="37"/>
    </row>
    <row r="105" ht="22.5" customHeight="1">
      <c r="A105" s="5"/>
      <c r="B105" s="26"/>
      <c r="C105" s="27"/>
      <c r="D105" s="27"/>
      <c r="E105" s="27"/>
      <c r="F105" s="49"/>
      <c r="G105" s="49"/>
      <c r="H105" s="27"/>
      <c r="I105" s="27"/>
      <c r="J105" s="27"/>
      <c r="K105" s="5"/>
      <c r="L105" s="37"/>
      <c r="M105" s="37"/>
      <c r="N105" s="37"/>
      <c r="O105" s="37"/>
      <c r="P105" s="37"/>
      <c r="Q105" s="37"/>
    </row>
    <row r="106" ht="22.5" customHeight="1">
      <c r="A106" s="5"/>
      <c r="B106" s="26"/>
      <c r="C106" s="27"/>
      <c r="D106" s="27"/>
      <c r="E106" s="27"/>
      <c r="F106" s="49"/>
      <c r="G106" s="49"/>
      <c r="H106" s="27"/>
      <c r="I106" s="27"/>
      <c r="J106" s="27"/>
      <c r="K106" s="5"/>
      <c r="L106" s="37"/>
      <c r="M106" s="37"/>
      <c r="N106" s="37"/>
      <c r="O106" s="37"/>
      <c r="P106" s="37"/>
      <c r="Q106" s="37"/>
    </row>
    <row r="107" ht="22.5" customHeight="1">
      <c r="A107" s="5"/>
      <c r="B107" s="26"/>
      <c r="C107" s="27"/>
      <c r="D107" s="27"/>
      <c r="E107" s="27"/>
      <c r="F107" s="49"/>
      <c r="G107" s="49"/>
      <c r="H107" s="27"/>
      <c r="I107" s="27"/>
      <c r="J107" s="27"/>
      <c r="K107" s="5"/>
      <c r="L107" s="37"/>
      <c r="M107" s="37"/>
      <c r="N107" s="37"/>
      <c r="O107" s="37"/>
      <c r="P107" s="37"/>
      <c r="Q107" s="37"/>
    </row>
    <row r="108" ht="22.5" customHeight="1">
      <c r="A108" s="5"/>
      <c r="B108" s="26"/>
      <c r="C108" s="27"/>
      <c r="D108" s="27"/>
      <c r="E108" s="27"/>
      <c r="F108" s="49"/>
      <c r="G108" s="49"/>
      <c r="H108" s="27"/>
      <c r="I108" s="27"/>
      <c r="J108" s="27"/>
      <c r="K108" s="5"/>
      <c r="L108" s="37"/>
      <c r="M108" s="37"/>
      <c r="N108" s="37"/>
      <c r="O108" s="37"/>
      <c r="P108" s="37"/>
      <c r="Q108" s="37"/>
    </row>
    <row r="109" ht="22.5" customHeight="1">
      <c r="A109" s="5"/>
      <c r="B109" s="26"/>
      <c r="C109" s="27"/>
      <c r="D109" s="27"/>
      <c r="E109" s="27"/>
      <c r="F109" s="49"/>
      <c r="G109" s="49"/>
      <c r="H109" s="27"/>
      <c r="I109" s="27"/>
      <c r="J109" s="27"/>
      <c r="K109" s="5"/>
      <c r="L109" s="37"/>
      <c r="M109" s="37"/>
      <c r="N109" s="37"/>
      <c r="O109" s="37"/>
      <c r="P109" s="37"/>
      <c r="Q109" s="37"/>
    </row>
    <row r="110" ht="22.5" customHeight="1">
      <c r="A110" s="5"/>
      <c r="B110" s="26"/>
      <c r="C110" s="27"/>
      <c r="D110" s="27"/>
      <c r="E110" s="27"/>
      <c r="F110" s="49"/>
      <c r="G110" s="49"/>
      <c r="H110" s="27"/>
      <c r="I110" s="27"/>
      <c r="J110" s="27"/>
      <c r="K110" s="5"/>
      <c r="L110" s="37"/>
      <c r="M110" s="37"/>
      <c r="N110" s="37"/>
      <c r="O110" s="37"/>
      <c r="P110" s="37"/>
      <c r="Q110" s="37"/>
    </row>
    <row r="111" ht="22.5" customHeight="1">
      <c r="A111" s="5"/>
      <c r="B111" s="26"/>
      <c r="C111" s="27"/>
      <c r="D111" s="27"/>
      <c r="E111" s="27"/>
      <c r="F111" s="49"/>
      <c r="G111" s="49"/>
      <c r="H111" s="27"/>
      <c r="I111" s="27"/>
      <c r="J111" s="27"/>
      <c r="K111" s="5"/>
      <c r="L111" s="37"/>
      <c r="M111" s="37"/>
      <c r="N111" s="37"/>
      <c r="O111" s="37"/>
      <c r="P111" s="37"/>
      <c r="Q111" s="37"/>
    </row>
    <row r="112" ht="22.5" customHeight="1">
      <c r="A112" s="5"/>
      <c r="B112" s="26"/>
      <c r="C112" s="27"/>
      <c r="D112" s="27"/>
      <c r="E112" s="27"/>
      <c r="F112" s="49"/>
      <c r="G112" s="49"/>
      <c r="H112" s="27"/>
      <c r="I112" s="27"/>
      <c r="J112" s="27"/>
      <c r="K112" s="5"/>
      <c r="L112" s="37"/>
      <c r="M112" s="37"/>
      <c r="N112" s="37"/>
      <c r="O112" s="37"/>
      <c r="P112" s="37"/>
      <c r="Q112" s="37"/>
    </row>
    <row r="113" ht="22.5" customHeight="1">
      <c r="A113" s="5"/>
      <c r="B113" s="26"/>
      <c r="C113" s="27"/>
      <c r="D113" s="27"/>
      <c r="E113" s="27"/>
      <c r="F113" s="49"/>
      <c r="G113" s="49"/>
      <c r="H113" s="27"/>
      <c r="I113" s="27"/>
      <c r="J113" s="27"/>
      <c r="K113" s="5"/>
      <c r="L113" s="37"/>
      <c r="M113" s="37"/>
      <c r="N113" s="37"/>
      <c r="O113" s="37"/>
      <c r="P113" s="37"/>
      <c r="Q113" s="37"/>
    </row>
    <row r="114">
      <c r="A114" s="56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</row>
    <row r="115">
      <c r="A115" s="56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</row>
    <row r="116">
      <c r="A116" s="56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</row>
    <row r="117">
      <c r="A117" s="56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</row>
    <row r="118">
      <c r="A118" s="56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</row>
    <row r="119">
      <c r="A119" s="56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</row>
    <row r="120">
      <c r="A120" s="56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</row>
    <row r="121">
      <c r="A121" s="56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</row>
    <row r="122">
      <c r="A122" s="56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</row>
    <row r="123">
      <c r="A123" s="56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</row>
    <row r="124">
      <c r="A124" s="56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</row>
    <row r="125">
      <c r="A125" s="56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</row>
    <row r="126">
      <c r="A126" s="56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</row>
    <row r="127">
      <c r="A127" s="56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</row>
    <row r="128">
      <c r="A128" s="56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</row>
    <row r="129">
      <c r="A129" s="56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</row>
    <row r="130">
      <c r="A130" s="56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</row>
    <row r="131">
      <c r="A131" s="56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</row>
    <row r="132">
      <c r="A132" s="56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</row>
    <row r="133">
      <c r="A133" s="56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</row>
    <row r="134">
      <c r="A134" s="56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</row>
    <row r="135">
      <c r="A135" s="56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</row>
    <row r="136">
      <c r="A136" s="56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</row>
    <row r="137">
      <c r="A137" s="56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</row>
    <row r="138">
      <c r="A138" s="56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</row>
    <row r="139">
      <c r="A139" s="56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</row>
    <row r="140">
      <c r="A140" s="56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</row>
    <row r="141">
      <c r="A141" s="56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</row>
    <row r="142">
      <c r="A142" s="56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</row>
    <row r="143">
      <c r="A143" s="56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</row>
    <row r="144">
      <c r="A144" s="56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</row>
    <row r="145">
      <c r="A145" s="56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</row>
    <row r="146">
      <c r="A146" s="56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</row>
    <row r="147">
      <c r="A147" s="56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</row>
    <row r="148">
      <c r="A148" s="56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</row>
    <row r="149">
      <c r="A149" s="56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</row>
    <row r="150">
      <c r="A150" s="56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</row>
    <row r="151">
      <c r="A151" s="56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</row>
    <row r="152">
      <c r="A152" s="56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</row>
    <row r="153">
      <c r="A153" s="56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</row>
    <row r="154">
      <c r="A154" s="56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</row>
    <row r="155">
      <c r="A155" s="56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</row>
    <row r="156">
      <c r="A156" s="56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</row>
    <row r="157">
      <c r="A157" s="56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</row>
    <row r="158">
      <c r="A158" s="56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</row>
    <row r="159">
      <c r="A159" s="56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</row>
    <row r="160">
      <c r="A160" s="56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</row>
    <row r="161">
      <c r="A161" s="56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</row>
    <row r="162">
      <c r="A162" s="56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</row>
    <row r="163">
      <c r="A163" s="56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</row>
    <row r="164">
      <c r="A164" s="56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</row>
    <row r="165">
      <c r="A165" s="56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</row>
    <row r="166">
      <c r="A166" s="56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</row>
    <row r="167">
      <c r="A167" s="56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</row>
    <row r="168">
      <c r="A168" s="56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</row>
    <row r="169">
      <c r="A169" s="56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</row>
    <row r="170">
      <c r="A170" s="56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</row>
    <row r="171">
      <c r="A171" s="56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</row>
    <row r="172">
      <c r="A172" s="56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</row>
    <row r="173">
      <c r="A173" s="56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</row>
  </sheetData>
  <dataValidations>
    <dataValidation type="custom" allowBlank="1" showDropDown="1" sqref="A2:A113 K2:K113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20.5"/>
    <col customWidth="1" min="3" max="3" width="18.88"/>
    <col customWidth="1" min="4" max="4" width="24.13"/>
    <col customWidth="1" min="5" max="5" width="9.13"/>
    <col customWidth="1" min="6" max="6" width="8.63"/>
    <col customWidth="1" min="7" max="7" width="10.38"/>
    <col customWidth="1" min="8" max="8" width="13.0"/>
    <col customWidth="1" min="9" max="9" width="27.5"/>
    <col customWidth="1" min="10" max="10" width="18.38"/>
    <col customWidth="1" min="11" max="16" width="18.88"/>
  </cols>
  <sheetData>
    <row r="1" ht="22.5" customHeight="1">
      <c r="A1" s="57" t="s">
        <v>0</v>
      </c>
      <c r="B1" s="39" t="s">
        <v>240</v>
      </c>
      <c r="C1" s="39" t="s">
        <v>266</v>
      </c>
      <c r="D1" s="39" t="s">
        <v>267</v>
      </c>
      <c r="E1" s="39" t="s">
        <v>235</v>
      </c>
      <c r="F1" s="39" t="s">
        <v>268</v>
      </c>
      <c r="G1" s="2" t="s">
        <v>249</v>
      </c>
      <c r="H1" s="2" t="s">
        <v>250</v>
      </c>
      <c r="I1" s="39" t="s">
        <v>269</v>
      </c>
      <c r="J1" s="58" t="s">
        <v>270</v>
      </c>
    </row>
    <row r="2" ht="22.5" customHeight="1">
      <c r="A2" s="5">
        <v>46181.80618979166</v>
      </c>
      <c r="B2" s="27" t="s">
        <v>162</v>
      </c>
      <c r="C2" s="59" t="s">
        <v>271</v>
      </c>
      <c r="D2" s="27" t="s">
        <v>272</v>
      </c>
      <c r="E2" s="27" t="s">
        <v>70</v>
      </c>
      <c r="F2" s="27">
        <v>5.0</v>
      </c>
      <c r="G2" s="27">
        <v>300.0</v>
      </c>
      <c r="H2" s="27">
        <v>1500.0</v>
      </c>
      <c r="I2" s="49"/>
      <c r="J2" s="60">
        <v>46178.0</v>
      </c>
    </row>
    <row r="3" ht="22.5" customHeight="1">
      <c r="A3" s="10">
        <v>46181.81030315973</v>
      </c>
      <c r="B3" s="15" t="s">
        <v>174</v>
      </c>
      <c r="C3" s="17"/>
      <c r="D3" s="17"/>
      <c r="E3" s="15" t="s">
        <v>70</v>
      </c>
      <c r="F3" s="15">
        <v>100.0</v>
      </c>
      <c r="G3" s="15">
        <v>48.0</v>
      </c>
      <c r="H3" s="15">
        <v>4800.0</v>
      </c>
      <c r="I3" s="17"/>
      <c r="J3" s="61">
        <v>46178.0</v>
      </c>
    </row>
    <row r="4" ht="22.5" customHeight="1">
      <c r="A4" s="10">
        <v>46181.81151763889</v>
      </c>
      <c r="B4" s="15" t="s">
        <v>273</v>
      </c>
      <c r="C4" s="17"/>
      <c r="D4" s="17"/>
      <c r="E4" s="15" t="s">
        <v>70</v>
      </c>
      <c r="F4" s="15">
        <v>5.0</v>
      </c>
      <c r="G4" s="15">
        <v>300.0</v>
      </c>
      <c r="H4" s="15">
        <v>1500.0</v>
      </c>
      <c r="I4" s="17"/>
      <c r="J4" s="61">
        <v>46178.0</v>
      </c>
    </row>
    <row r="5" ht="22.5" customHeight="1">
      <c r="A5" s="10">
        <v>46181.813064999995</v>
      </c>
      <c r="B5" s="15" t="s">
        <v>196</v>
      </c>
      <c r="C5" s="17"/>
      <c r="D5" s="17"/>
      <c r="E5" s="15" t="s">
        <v>70</v>
      </c>
      <c r="F5" s="15">
        <v>1.0</v>
      </c>
      <c r="G5" s="15">
        <v>60.0</v>
      </c>
      <c r="H5" s="15">
        <v>600.0</v>
      </c>
      <c r="I5" s="17"/>
      <c r="J5" s="61">
        <v>46178.0</v>
      </c>
    </row>
    <row r="6" ht="22.5" customHeight="1">
      <c r="A6" s="10">
        <v>46181.815194930554</v>
      </c>
      <c r="B6" s="15" t="s">
        <v>258</v>
      </c>
      <c r="C6" s="17"/>
      <c r="D6" s="17"/>
      <c r="E6" s="17"/>
      <c r="F6" s="15">
        <v>0.0</v>
      </c>
      <c r="G6" s="15">
        <v>0.0</v>
      </c>
      <c r="H6" s="15">
        <v>350.0</v>
      </c>
      <c r="I6" s="17"/>
      <c r="J6" s="61">
        <v>46178.0</v>
      </c>
    </row>
    <row r="7" ht="22.5" customHeight="1">
      <c r="A7" s="10">
        <v>46182.721020509256</v>
      </c>
      <c r="B7" s="15" t="s">
        <v>139</v>
      </c>
      <c r="C7" s="17"/>
      <c r="D7" s="17"/>
      <c r="E7" s="15" t="s">
        <v>70</v>
      </c>
      <c r="F7" s="15">
        <v>10.0</v>
      </c>
      <c r="G7" s="15">
        <v>150.0</v>
      </c>
      <c r="H7" s="15">
        <v>1500.0</v>
      </c>
      <c r="I7" s="17"/>
      <c r="J7" s="10">
        <v>46178.0</v>
      </c>
    </row>
    <row r="8" ht="22.5" customHeight="1">
      <c r="A8" s="10">
        <v>46182.725607291664</v>
      </c>
      <c r="B8" s="15" t="s">
        <v>274</v>
      </c>
      <c r="C8" s="17"/>
      <c r="D8" s="17"/>
      <c r="E8" s="15" t="s">
        <v>70</v>
      </c>
      <c r="F8" s="15">
        <v>40.0</v>
      </c>
      <c r="G8" s="15">
        <v>30.0</v>
      </c>
      <c r="H8" s="15">
        <v>1200.0</v>
      </c>
      <c r="I8" s="17"/>
      <c r="J8" s="10">
        <v>46178.0</v>
      </c>
    </row>
    <row r="9" ht="22.5" customHeight="1">
      <c r="A9" s="10">
        <v>46188.87848688658</v>
      </c>
      <c r="B9" s="15" t="s">
        <v>138</v>
      </c>
      <c r="C9" s="17"/>
      <c r="D9" s="17"/>
      <c r="E9" s="15" t="s">
        <v>70</v>
      </c>
      <c r="F9" s="15">
        <v>25.0</v>
      </c>
      <c r="G9" s="15">
        <v>44.0</v>
      </c>
      <c r="H9" s="15">
        <v>1100.0</v>
      </c>
      <c r="I9" s="17"/>
      <c r="J9" s="10">
        <v>46186.0</v>
      </c>
    </row>
    <row r="10">
      <c r="A10" s="62"/>
      <c r="B10" s="37"/>
      <c r="C10" s="37"/>
      <c r="D10" s="37"/>
      <c r="E10" s="37"/>
      <c r="F10" s="37"/>
      <c r="G10" s="63"/>
      <c r="H10" s="63"/>
      <c r="I10" s="37"/>
      <c r="J10" s="64"/>
    </row>
    <row r="11">
      <c r="A11" s="62"/>
      <c r="B11" s="37"/>
      <c r="C11" s="37"/>
      <c r="D11" s="37"/>
      <c r="E11" s="37"/>
      <c r="F11" s="37"/>
      <c r="G11" s="63"/>
      <c r="H11" s="63"/>
      <c r="I11" s="37"/>
      <c r="J11" s="64"/>
    </row>
    <row r="12">
      <c r="A12" s="62"/>
      <c r="B12" s="37"/>
      <c r="C12" s="37"/>
      <c r="D12" s="37"/>
      <c r="E12" s="37"/>
      <c r="F12" s="37"/>
      <c r="G12" s="63"/>
      <c r="H12" s="63"/>
      <c r="I12" s="37"/>
      <c r="J12" s="64"/>
    </row>
    <row r="13">
      <c r="A13" s="62"/>
      <c r="B13" s="37"/>
      <c r="C13" s="37"/>
      <c r="D13" s="37"/>
      <c r="E13" s="37"/>
      <c r="F13" s="37"/>
      <c r="G13" s="63"/>
      <c r="H13" s="63"/>
      <c r="I13" s="37"/>
      <c r="J13" s="64"/>
    </row>
    <row r="14">
      <c r="A14" s="62"/>
      <c r="B14" s="37"/>
      <c r="C14" s="37"/>
      <c r="D14" s="37"/>
      <c r="E14" s="37"/>
      <c r="F14" s="37"/>
      <c r="G14" s="63"/>
      <c r="H14" s="63"/>
      <c r="I14" s="37"/>
      <c r="J14" s="64"/>
    </row>
    <row r="15">
      <c r="A15" s="62"/>
      <c r="B15" s="37"/>
      <c r="C15" s="37"/>
      <c r="D15" s="37"/>
      <c r="E15" s="37"/>
      <c r="F15" s="37"/>
      <c r="G15" s="63"/>
      <c r="H15" s="63"/>
      <c r="I15" s="37"/>
      <c r="J15" s="64"/>
    </row>
    <row r="16">
      <c r="A16" s="62"/>
      <c r="B16" s="37"/>
      <c r="C16" s="37"/>
      <c r="D16" s="37"/>
      <c r="E16" s="37"/>
      <c r="F16" s="37"/>
      <c r="G16" s="63"/>
      <c r="H16" s="63"/>
      <c r="I16" s="37"/>
      <c r="J16" s="64"/>
    </row>
    <row r="17">
      <c r="A17" s="62"/>
      <c r="B17" s="37"/>
      <c r="C17" s="37"/>
      <c r="D17" s="37"/>
      <c r="E17" s="37"/>
      <c r="F17" s="37"/>
      <c r="G17" s="63"/>
      <c r="H17" s="63"/>
      <c r="I17" s="37"/>
      <c r="J17" s="64"/>
    </row>
    <row r="18">
      <c r="A18" s="62"/>
      <c r="B18" s="37"/>
      <c r="C18" s="37"/>
      <c r="D18" s="37"/>
      <c r="E18" s="37"/>
      <c r="F18" s="37"/>
      <c r="G18" s="63"/>
      <c r="H18" s="63"/>
      <c r="I18" s="37"/>
      <c r="J18" s="64"/>
    </row>
    <row r="19">
      <c r="A19" s="62"/>
      <c r="B19" s="37"/>
      <c r="C19" s="37"/>
      <c r="D19" s="37"/>
      <c r="E19" s="37"/>
      <c r="F19" s="37"/>
      <c r="G19" s="63"/>
      <c r="H19" s="63"/>
      <c r="I19" s="37"/>
      <c r="J19" s="64"/>
    </row>
    <row r="20">
      <c r="A20" s="62"/>
      <c r="B20" s="37"/>
      <c r="C20" s="37"/>
      <c r="D20" s="37"/>
      <c r="E20" s="37"/>
      <c r="F20" s="37"/>
      <c r="G20" s="63"/>
      <c r="H20" s="63"/>
      <c r="I20" s="37"/>
      <c r="J20" s="64"/>
    </row>
    <row r="21">
      <c r="A21" s="62"/>
      <c r="B21" s="37"/>
      <c r="C21" s="37"/>
      <c r="D21" s="37"/>
      <c r="E21" s="37"/>
      <c r="F21" s="37"/>
      <c r="G21" s="63"/>
      <c r="H21" s="63"/>
      <c r="I21" s="37"/>
      <c r="J21" s="64"/>
    </row>
    <row r="22">
      <c r="A22" s="62"/>
      <c r="B22" s="37"/>
      <c r="C22" s="37"/>
      <c r="D22" s="37"/>
      <c r="E22" s="37"/>
      <c r="F22" s="37"/>
      <c r="G22" s="63"/>
      <c r="H22" s="63"/>
      <c r="I22" s="37"/>
      <c r="J22" s="64"/>
    </row>
    <row r="23">
      <c r="A23" s="62"/>
      <c r="B23" s="37"/>
      <c r="C23" s="37"/>
      <c r="D23" s="37"/>
      <c r="E23" s="37"/>
      <c r="F23" s="37"/>
      <c r="G23" s="63"/>
      <c r="H23" s="63"/>
      <c r="I23" s="37"/>
      <c r="J23" s="64"/>
    </row>
    <row r="24">
      <c r="A24" s="62"/>
      <c r="B24" s="37"/>
      <c r="C24" s="37"/>
      <c r="D24" s="37"/>
      <c r="E24" s="37"/>
      <c r="F24" s="37"/>
      <c r="G24" s="63"/>
      <c r="H24" s="63"/>
      <c r="I24" s="37"/>
      <c r="J24" s="64"/>
    </row>
    <row r="25">
      <c r="A25" s="62"/>
      <c r="B25" s="37"/>
      <c r="C25" s="37"/>
      <c r="D25" s="37"/>
      <c r="E25" s="37"/>
      <c r="F25" s="37"/>
      <c r="G25" s="63"/>
      <c r="H25" s="63"/>
      <c r="I25" s="37"/>
      <c r="J25" s="64"/>
    </row>
    <row r="26">
      <c r="A26" s="62"/>
      <c r="B26" s="37"/>
      <c r="C26" s="37"/>
      <c r="D26" s="37"/>
      <c r="E26" s="37"/>
      <c r="F26" s="37"/>
      <c r="G26" s="63"/>
      <c r="H26" s="63"/>
      <c r="I26" s="37"/>
      <c r="J26" s="64"/>
    </row>
    <row r="27">
      <c r="A27" s="62"/>
      <c r="B27" s="37"/>
      <c r="C27" s="37"/>
      <c r="D27" s="37"/>
      <c r="E27" s="37"/>
      <c r="F27" s="37"/>
      <c r="G27" s="63"/>
      <c r="H27" s="63"/>
      <c r="I27" s="37"/>
      <c r="J27" s="64"/>
    </row>
    <row r="28">
      <c r="A28" s="62"/>
      <c r="B28" s="37"/>
      <c r="C28" s="37"/>
      <c r="D28" s="37"/>
      <c r="E28" s="37"/>
      <c r="F28" s="37"/>
      <c r="G28" s="63"/>
      <c r="H28" s="63"/>
      <c r="I28" s="37"/>
      <c r="J28" s="64"/>
    </row>
    <row r="29">
      <c r="A29" s="62"/>
      <c r="B29" s="37"/>
      <c r="C29" s="37"/>
      <c r="D29" s="37"/>
      <c r="E29" s="37"/>
      <c r="F29" s="37"/>
      <c r="G29" s="63"/>
      <c r="H29" s="63"/>
      <c r="I29" s="37"/>
      <c r="J29" s="64"/>
    </row>
    <row r="30">
      <c r="A30" s="62"/>
      <c r="B30" s="37"/>
      <c r="C30" s="37"/>
      <c r="D30" s="37"/>
      <c r="E30" s="37"/>
      <c r="F30" s="37"/>
      <c r="G30" s="63"/>
      <c r="H30" s="63"/>
      <c r="I30" s="37"/>
      <c r="J30" s="64"/>
    </row>
    <row r="31">
      <c r="A31" s="62"/>
      <c r="B31" s="37"/>
      <c r="C31" s="37"/>
      <c r="D31" s="37"/>
      <c r="E31" s="37"/>
      <c r="F31" s="37"/>
      <c r="G31" s="63"/>
      <c r="H31" s="63"/>
      <c r="I31" s="37"/>
      <c r="J31" s="64"/>
    </row>
    <row r="32">
      <c r="A32" s="65"/>
      <c r="G32" s="25"/>
      <c r="H32" s="25"/>
      <c r="J32" s="66"/>
    </row>
    <row r="33">
      <c r="A33" s="65"/>
      <c r="G33" s="25"/>
      <c r="H33" s="25"/>
      <c r="J33" s="66"/>
    </row>
    <row r="34">
      <c r="A34" s="65"/>
      <c r="G34" s="25"/>
      <c r="H34" s="25"/>
      <c r="J34" s="66"/>
    </row>
    <row r="35">
      <c r="A35" s="65"/>
      <c r="G35" s="25"/>
      <c r="H35" s="25"/>
      <c r="J35" s="66"/>
    </row>
    <row r="36">
      <c r="A36" s="65"/>
      <c r="G36" s="25"/>
      <c r="H36" s="25"/>
      <c r="J36" s="66"/>
    </row>
    <row r="37">
      <c r="A37" s="65"/>
      <c r="G37" s="25"/>
      <c r="H37" s="25"/>
      <c r="J37" s="66"/>
    </row>
    <row r="38">
      <c r="A38" s="65"/>
      <c r="G38" s="25"/>
      <c r="H38" s="25"/>
      <c r="J38" s="66"/>
    </row>
    <row r="39">
      <c r="A39" s="65"/>
      <c r="G39" s="25"/>
      <c r="H39" s="25"/>
      <c r="J39" s="66"/>
    </row>
    <row r="40">
      <c r="A40" s="65"/>
      <c r="G40" s="25"/>
      <c r="H40" s="25"/>
      <c r="J40" s="66"/>
    </row>
    <row r="41">
      <c r="A41" s="65"/>
      <c r="G41" s="25"/>
      <c r="H41" s="25"/>
      <c r="J41" s="66"/>
    </row>
    <row r="42">
      <c r="A42" s="65"/>
      <c r="G42" s="25"/>
      <c r="H42" s="25"/>
      <c r="J42" s="66"/>
    </row>
    <row r="43">
      <c r="A43" s="65"/>
      <c r="G43" s="25"/>
      <c r="H43" s="25"/>
      <c r="J43" s="66"/>
    </row>
    <row r="44">
      <c r="A44" s="65"/>
      <c r="G44" s="25"/>
      <c r="H44" s="25"/>
      <c r="J44" s="66"/>
    </row>
    <row r="45">
      <c r="A45" s="65"/>
      <c r="G45" s="25"/>
      <c r="H45" s="25"/>
      <c r="J45" s="66"/>
    </row>
    <row r="46">
      <c r="A46" s="65"/>
      <c r="G46" s="25"/>
      <c r="H46" s="25"/>
      <c r="J46" s="66"/>
    </row>
    <row r="47">
      <c r="A47" s="65"/>
      <c r="G47" s="25"/>
      <c r="H47" s="25"/>
      <c r="J47" s="66"/>
    </row>
    <row r="48">
      <c r="A48" s="65"/>
      <c r="G48" s="25"/>
      <c r="H48" s="25"/>
      <c r="J48" s="66"/>
    </row>
    <row r="49">
      <c r="A49" s="65"/>
      <c r="G49" s="25"/>
      <c r="H49" s="25"/>
      <c r="J49" s="66"/>
    </row>
    <row r="50">
      <c r="A50" s="65"/>
      <c r="G50" s="25"/>
      <c r="H50" s="25"/>
      <c r="J50" s="66"/>
    </row>
    <row r="51">
      <c r="A51" s="65"/>
      <c r="G51" s="25"/>
      <c r="H51" s="25"/>
      <c r="J51" s="66"/>
    </row>
    <row r="52">
      <c r="A52" s="65"/>
      <c r="G52" s="25"/>
      <c r="H52" s="25"/>
      <c r="J52" s="66"/>
    </row>
    <row r="53">
      <c r="A53" s="65"/>
      <c r="G53" s="25"/>
      <c r="H53" s="25"/>
      <c r="J53" s="66"/>
    </row>
    <row r="54">
      <c r="A54" s="65"/>
      <c r="G54" s="25"/>
      <c r="H54" s="25"/>
      <c r="J54" s="66"/>
    </row>
    <row r="55">
      <c r="A55" s="65"/>
      <c r="G55" s="25"/>
      <c r="H55" s="25"/>
      <c r="J55" s="66"/>
    </row>
    <row r="56">
      <c r="A56" s="65"/>
      <c r="G56" s="25"/>
      <c r="H56" s="25"/>
      <c r="J56" s="66"/>
    </row>
    <row r="57">
      <c r="A57" s="65"/>
      <c r="G57" s="25"/>
      <c r="H57" s="25"/>
      <c r="J57" s="66"/>
    </row>
    <row r="58">
      <c r="A58" s="65"/>
      <c r="G58" s="25"/>
      <c r="H58" s="25"/>
      <c r="J58" s="66"/>
    </row>
    <row r="59">
      <c r="A59" s="65"/>
      <c r="G59" s="25"/>
      <c r="H59" s="25"/>
      <c r="J59" s="66"/>
    </row>
    <row r="60">
      <c r="A60" s="65"/>
      <c r="G60" s="25"/>
      <c r="H60" s="25"/>
      <c r="J60" s="66"/>
    </row>
    <row r="61">
      <c r="A61" s="65"/>
      <c r="G61" s="25"/>
      <c r="H61" s="25"/>
      <c r="J61" s="66"/>
    </row>
    <row r="62">
      <c r="A62" s="65"/>
      <c r="G62" s="25"/>
      <c r="H62" s="25"/>
      <c r="J62" s="66"/>
    </row>
    <row r="63">
      <c r="A63" s="65"/>
      <c r="G63" s="25"/>
      <c r="H63" s="25"/>
      <c r="J63" s="66"/>
    </row>
    <row r="64">
      <c r="A64" s="65"/>
      <c r="G64" s="25"/>
      <c r="H64" s="25"/>
      <c r="J64" s="66"/>
    </row>
    <row r="65">
      <c r="A65" s="65"/>
      <c r="G65" s="25"/>
      <c r="H65" s="25"/>
      <c r="J65" s="66"/>
    </row>
    <row r="66">
      <c r="A66" s="65"/>
      <c r="G66" s="25"/>
      <c r="H66" s="25"/>
      <c r="J66" s="66"/>
    </row>
    <row r="67">
      <c r="A67" s="65"/>
      <c r="G67" s="25"/>
      <c r="H67" s="25"/>
      <c r="J67" s="66"/>
    </row>
    <row r="68">
      <c r="A68" s="65"/>
      <c r="G68" s="25"/>
      <c r="H68" s="25"/>
      <c r="J68" s="66"/>
    </row>
    <row r="69">
      <c r="A69" s="65"/>
      <c r="G69" s="25"/>
      <c r="H69" s="25"/>
      <c r="J69" s="66"/>
    </row>
    <row r="70">
      <c r="A70" s="65"/>
      <c r="G70" s="25"/>
      <c r="H70" s="25"/>
      <c r="J70" s="66"/>
    </row>
    <row r="71">
      <c r="A71" s="65"/>
      <c r="G71" s="25"/>
      <c r="H71" s="25"/>
      <c r="J71" s="66"/>
    </row>
    <row r="72">
      <c r="A72" s="65"/>
      <c r="G72" s="25"/>
      <c r="H72" s="25"/>
      <c r="J72" s="66"/>
    </row>
    <row r="73">
      <c r="A73" s="65"/>
      <c r="G73" s="25"/>
      <c r="H73" s="25"/>
      <c r="J73" s="66"/>
    </row>
    <row r="74">
      <c r="A74" s="65"/>
      <c r="G74" s="25"/>
      <c r="H74" s="25"/>
      <c r="J74" s="66"/>
    </row>
    <row r="75">
      <c r="A75" s="65"/>
      <c r="G75" s="25"/>
      <c r="H75" s="25"/>
      <c r="J75" s="66"/>
    </row>
    <row r="76">
      <c r="A76" s="65"/>
      <c r="G76" s="25"/>
      <c r="H76" s="25"/>
      <c r="J76" s="66"/>
    </row>
    <row r="77">
      <c r="A77" s="65"/>
      <c r="G77" s="25"/>
      <c r="H77" s="25"/>
      <c r="J77" s="66"/>
    </row>
    <row r="78">
      <c r="A78" s="65"/>
      <c r="G78" s="25"/>
      <c r="H78" s="25"/>
      <c r="J78" s="66"/>
    </row>
    <row r="79">
      <c r="A79" s="65"/>
      <c r="G79" s="25"/>
      <c r="H79" s="25"/>
      <c r="J79" s="66"/>
    </row>
    <row r="80">
      <c r="A80" s="65"/>
      <c r="G80" s="25"/>
      <c r="H80" s="25"/>
      <c r="J80" s="66"/>
    </row>
    <row r="81">
      <c r="A81" s="65"/>
      <c r="G81" s="25"/>
      <c r="H81" s="25"/>
      <c r="J81" s="66"/>
    </row>
    <row r="82">
      <c r="A82" s="65"/>
      <c r="G82" s="25"/>
      <c r="H82" s="25"/>
      <c r="J82" s="66"/>
    </row>
    <row r="83">
      <c r="A83" s="65"/>
      <c r="G83" s="25"/>
      <c r="H83" s="25"/>
      <c r="J83" s="66"/>
    </row>
    <row r="84">
      <c r="A84" s="65"/>
      <c r="G84" s="25"/>
      <c r="H84" s="25"/>
      <c r="J84" s="66"/>
    </row>
    <row r="85">
      <c r="A85" s="65"/>
      <c r="G85" s="25"/>
      <c r="H85" s="25"/>
      <c r="J85" s="66"/>
    </row>
    <row r="86">
      <c r="A86" s="65"/>
      <c r="G86" s="25"/>
      <c r="H86" s="25"/>
      <c r="J86" s="66"/>
    </row>
    <row r="87">
      <c r="A87" s="65"/>
      <c r="G87" s="25"/>
      <c r="H87" s="25"/>
      <c r="J87" s="66"/>
    </row>
    <row r="88">
      <c r="A88" s="65"/>
      <c r="G88" s="25"/>
      <c r="H88" s="25"/>
      <c r="J88" s="66"/>
    </row>
    <row r="89">
      <c r="A89" s="65"/>
      <c r="G89" s="25"/>
      <c r="H89" s="25"/>
      <c r="J89" s="66"/>
    </row>
    <row r="90">
      <c r="A90" s="65"/>
      <c r="G90" s="25"/>
      <c r="H90" s="25"/>
      <c r="J90" s="66"/>
    </row>
    <row r="91">
      <c r="A91" s="65"/>
      <c r="G91" s="25"/>
      <c r="H91" s="25"/>
      <c r="J91" s="66"/>
    </row>
    <row r="92">
      <c r="A92" s="65"/>
      <c r="G92" s="25"/>
      <c r="H92" s="25"/>
      <c r="J92" s="66"/>
    </row>
    <row r="93">
      <c r="A93" s="65"/>
      <c r="G93" s="25"/>
      <c r="H93" s="25"/>
      <c r="J93" s="66"/>
    </row>
    <row r="94">
      <c r="A94" s="65"/>
      <c r="G94" s="25"/>
      <c r="H94" s="25"/>
      <c r="J94" s="66"/>
    </row>
    <row r="95">
      <c r="A95" s="65"/>
      <c r="G95" s="25"/>
      <c r="H95" s="25"/>
      <c r="J95" s="66"/>
    </row>
    <row r="96">
      <c r="A96" s="65"/>
      <c r="G96" s="25"/>
      <c r="H96" s="25"/>
      <c r="J96" s="66"/>
    </row>
    <row r="97">
      <c r="A97" s="65"/>
      <c r="G97" s="25"/>
      <c r="H97" s="25"/>
      <c r="J97" s="66"/>
    </row>
    <row r="98">
      <c r="A98" s="65"/>
      <c r="G98" s="25"/>
      <c r="H98" s="25"/>
      <c r="J98" s="66"/>
    </row>
    <row r="99">
      <c r="A99" s="65"/>
      <c r="G99" s="25"/>
      <c r="H99" s="25"/>
      <c r="J99" s="66"/>
    </row>
    <row r="100">
      <c r="A100" s="65"/>
      <c r="G100" s="25"/>
      <c r="H100" s="25"/>
      <c r="J100" s="66"/>
    </row>
    <row r="101">
      <c r="A101" s="65"/>
      <c r="G101" s="25"/>
      <c r="H101" s="25"/>
      <c r="J101" s="66"/>
    </row>
    <row r="102">
      <c r="A102" s="65"/>
      <c r="G102" s="25"/>
      <c r="H102" s="25"/>
      <c r="J102" s="66"/>
    </row>
    <row r="103">
      <c r="A103" s="65"/>
      <c r="G103" s="25"/>
      <c r="H103" s="25"/>
      <c r="J103" s="66"/>
    </row>
    <row r="104">
      <c r="A104" s="65"/>
      <c r="G104" s="25"/>
      <c r="H104" s="25"/>
      <c r="J104" s="66"/>
    </row>
    <row r="105">
      <c r="A105" s="65"/>
      <c r="G105" s="25"/>
      <c r="H105" s="25"/>
      <c r="J105" s="66"/>
    </row>
    <row r="106">
      <c r="A106" s="65"/>
      <c r="G106" s="25"/>
      <c r="H106" s="25"/>
      <c r="J106" s="66"/>
    </row>
    <row r="107">
      <c r="A107" s="65"/>
      <c r="G107" s="25"/>
      <c r="H107" s="25"/>
      <c r="J107" s="66"/>
    </row>
    <row r="108">
      <c r="A108" s="65"/>
      <c r="G108" s="25"/>
      <c r="H108" s="25"/>
      <c r="J108" s="66"/>
    </row>
    <row r="109">
      <c r="A109" s="65"/>
      <c r="G109" s="25"/>
      <c r="H109" s="25"/>
      <c r="J109" s="66"/>
    </row>
  </sheetData>
  <dataValidations>
    <dataValidation type="custom" allowBlank="1" showDropDown="1" sqref="A2:A9 J2:J9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28.13"/>
    <col customWidth="1" min="3" max="3" width="24.13"/>
    <col customWidth="1" min="4" max="4" width="7.13"/>
    <col customWidth="1" min="5" max="5" width="13.75"/>
    <col customWidth="1" min="6" max="6" width="10.88"/>
    <col customWidth="1" min="7" max="7" width="5.13"/>
    <col customWidth="1" min="8" max="8" width="10.0"/>
    <col customWidth="1" min="9" max="9" width="13.75"/>
    <col customWidth="1" min="10" max="10" width="8.38"/>
    <col customWidth="1" min="11" max="11" width="6.13"/>
    <col customWidth="1" min="12" max="12" width="10.5"/>
  </cols>
  <sheetData>
    <row r="1">
      <c r="A1" s="67" t="s">
        <v>275</v>
      </c>
      <c r="B1" s="67" t="s">
        <v>240</v>
      </c>
      <c r="C1" s="68" t="s">
        <v>276</v>
      </c>
      <c r="D1" s="67" t="s">
        <v>277</v>
      </c>
      <c r="E1" s="69" t="s">
        <v>235</v>
      </c>
      <c r="F1" s="70" t="s">
        <v>278</v>
      </c>
      <c r="G1" s="69" t="s">
        <v>268</v>
      </c>
      <c r="H1" s="67" t="s">
        <v>237</v>
      </c>
      <c r="I1" s="69" t="s">
        <v>235</v>
      </c>
      <c r="J1" s="71" t="s">
        <v>279</v>
      </c>
      <c r="K1" s="67" t="s">
        <v>280</v>
      </c>
      <c r="L1" s="67" t="s">
        <v>281</v>
      </c>
      <c r="M1" s="72" t="s">
        <v>282</v>
      </c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</row>
    <row r="2">
      <c r="A2" s="74">
        <v>1.0</v>
      </c>
      <c r="B2" s="75" t="s">
        <v>189</v>
      </c>
      <c r="C2" s="76" t="s">
        <v>283</v>
      </c>
      <c r="D2" s="74">
        <v>299.0</v>
      </c>
      <c r="E2" s="77" t="s">
        <v>239</v>
      </c>
      <c r="F2" s="74">
        <v>9.0</v>
      </c>
      <c r="G2" s="77">
        <v>1.0</v>
      </c>
      <c r="H2" s="74" t="s">
        <v>237</v>
      </c>
      <c r="I2" s="77" t="s">
        <v>239</v>
      </c>
      <c r="J2" s="74">
        <f t="shared" ref="J2:J9" si="1">F2*G2</f>
        <v>9</v>
      </c>
      <c r="K2" s="78">
        <f>0+0</f>
        <v>0</v>
      </c>
      <c r="L2" s="79">
        <f t="shared" ref="L2:L9" si="2">J2-K2</f>
        <v>9</v>
      </c>
      <c r="M2" s="72" t="s">
        <v>284</v>
      </c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</row>
    <row r="3">
      <c r="A3" s="74">
        <v>2.0</v>
      </c>
      <c r="B3" s="75" t="s">
        <v>121</v>
      </c>
      <c r="C3" s="76" t="s">
        <v>285</v>
      </c>
      <c r="D3" s="74">
        <v>60.0</v>
      </c>
      <c r="E3" s="77" t="s">
        <v>239</v>
      </c>
      <c r="F3" s="74">
        <v>30.0</v>
      </c>
      <c r="G3" s="77">
        <v>1.0</v>
      </c>
      <c r="H3" s="74" t="s">
        <v>237</v>
      </c>
      <c r="I3" s="77" t="s">
        <v>239</v>
      </c>
      <c r="J3" s="74">
        <f t="shared" si="1"/>
        <v>30</v>
      </c>
      <c r="K3" s="78">
        <f>0+12</f>
        <v>12</v>
      </c>
      <c r="L3" s="79">
        <f t="shared" si="2"/>
        <v>18</v>
      </c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</row>
    <row r="4">
      <c r="A4" s="74">
        <v>3.0</v>
      </c>
      <c r="B4" s="76" t="s">
        <v>197</v>
      </c>
      <c r="C4" s="76" t="s">
        <v>286</v>
      </c>
      <c r="D4" s="74">
        <v>160.0</v>
      </c>
      <c r="E4" s="77" t="s">
        <v>70</v>
      </c>
      <c r="F4" s="74">
        <v>13.5</v>
      </c>
      <c r="G4" s="74">
        <v>1.0</v>
      </c>
      <c r="H4" s="74" t="s">
        <v>237</v>
      </c>
      <c r="I4" s="77" t="s">
        <v>70</v>
      </c>
      <c r="J4" s="74">
        <f t="shared" si="1"/>
        <v>13.5</v>
      </c>
      <c r="K4" s="78">
        <f>0+5</f>
        <v>5</v>
      </c>
      <c r="L4" s="79">
        <f t="shared" si="2"/>
        <v>8.5</v>
      </c>
      <c r="M4" s="72" t="s">
        <v>287</v>
      </c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</row>
    <row r="5">
      <c r="A5" s="74">
        <v>4.0</v>
      </c>
      <c r="B5" s="75" t="s">
        <v>147</v>
      </c>
      <c r="C5" s="76" t="s">
        <v>288</v>
      </c>
      <c r="D5" s="74">
        <v>58.0</v>
      </c>
      <c r="E5" s="77" t="s">
        <v>70</v>
      </c>
      <c r="F5" s="74">
        <f>70+30</f>
        <v>100</v>
      </c>
      <c r="G5" s="77">
        <v>1.0</v>
      </c>
      <c r="H5" s="74" t="s">
        <v>237</v>
      </c>
      <c r="I5" s="77" t="s">
        <v>70</v>
      </c>
      <c r="J5" s="74">
        <f t="shared" si="1"/>
        <v>100</v>
      </c>
      <c r="K5" s="78">
        <f>0+34</f>
        <v>34</v>
      </c>
      <c r="L5" s="79">
        <f t="shared" si="2"/>
        <v>66</v>
      </c>
      <c r="M5" s="72" t="s">
        <v>289</v>
      </c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</row>
    <row r="6">
      <c r="A6" s="74">
        <v>6.0</v>
      </c>
      <c r="B6" s="75" t="s">
        <v>201</v>
      </c>
      <c r="C6" s="76" t="s">
        <v>290</v>
      </c>
      <c r="D6" s="74">
        <v>300.0</v>
      </c>
      <c r="E6" s="77" t="s">
        <v>239</v>
      </c>
      <c r="F6" s="74">
        <v>89.0</v>
      </c>
      <c r="G6" s="77">
        <v>1.0</v>
      </c>
      <c r="H6" s="74" t="s">
        <v>237</v>
      </c>
      <c r="I6" s="77" t="s">
        <v>70</v>
      </c>
      <c r="J6" s="74">
        <f t="shared" si="1"/>
        <v>89</v>
      </c>
      <c r="K6" s="78">
        <v>29.0</v>
      </c>
      <c r="L6" s="79">
        <f t="shared" si="2"/>
        <v>60</v>
      </c>
      <c r="M6" s="72" t="s">
        <v>291</v>
      </c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</row>
    <row r="7">
      <c r="A7" s="74">
        <v>7.0</v>
      </c>
      <c r="B7" s="75" t="s">
        <v>138</v>
      </c>
      <c r="C7" s="80" t="s">
        <v>292</v>
      </c>
      <c r="D7" s="74">
        <v>238.0</v>
      </c>
      <c r="E7" s="77" t="s">
        <v>70</v>
      </c>
      <c r="F7" s="74">
        <v>58.0</v>
      </c>
      <c r="G7" s="77">
        <v>1.0</v>
      </c>
      <c r="H7" s="74" t="s">
        <v>237</v>
      </c>
      <c r="I7" s="77" t="s">
        <v>70</v>
      </c>
      <c r="J7" s="74">
        <f t="shared" si="1"/>
        <v>58</v>
      </c>
      <c r="K7" s="78">
        <v>18.0</v>
      </c>
      <c r="L7" s="79">
        <f t="shared" si="2"/>
        <v>40</v>
      </c>
      <c r="M7" s="72" t="s">
        <v>293</v>
      </c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</row>
    <row r="8">
      <c r="A8" s="74">
        <v>9.0</v>
      </c>
      <c r="B8" s="75" t="s">
        <v>154</v>
      </c>
      <c r="C8" s="76" t="s">
        <v>294</v>
      </c>
      <c r="D8" s="74">
        <v>120.0</v>
      </c>
      <c r="E8" s="77" t="s">
        <v>70</v>
      </c>
      <c r="F8" s="74">
        <v>257.0</v>
      </c>
      <c r="G8" s="77">
        <v>1.0</v>
      </c>
      <c r="H8" s="74" t="s">
        <v>237</v>
      </c>
      <c r="I8" s="77" t="s">
        <v>70</v>
      </c>
      <c r="J8" s="74">
        <f t="shared" si="1"/>
        <v>257</v>
      </c>
      <c r="K8" s="78">
        <f>0+92</f>
        <v>92</v>
      </c>
      <c r="L8" s="79">
        <f t="shared" si="2"/>
        <v>165</v>
      </c>
      <c r="M8" s="72" t="s">
        <v>295</v>
      </c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</row>
    <row r="9">
      <c r="A9" s="74">
        <v>10.0</v>
      </c>
      <c r="B9" s="75" t="s">
        <v>200</v>
      </c>
      <c r="C9" s="76" t="s">
        <v>296</v>
      </c>
      <c r="D9" s="74">
        <v>80.0</v>
      </c>
      <c r="E9" s="77" t="s">
        <v>239</v>
      </c>
      <c r="F9" s="74">
        <v>18.0</v>
      </c>
      <c r="G9" s="77">
        <v>1.0</v>
      </c>
      <c r="H9" s="74" t="s">
        <v>237</v>
      </c>
      <c r="I9" s="77" t="s">
        <v>239</v>
      </c>
      <c r="J9" s="74">
        <f t="shared" si="1"/>
        <v>18</v>
      </c>
      <c r="K9" s="78">
        <f t="shared" ref="K9:K10" si="3">0+0</f>
        <v>0</v>
      </c>
      <c r="L9" s="79">
        <f t="shared" si="2"/>
        <v>18</v>
      </c>
      <c r="M9" s="72" t="s">
        <v>297</v>
      </c>
      <c r="N9" s="72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</row>
    <row r="10">
      <c r="A10" s="74">
        <v>11.0</v>
      </c>
      <c r="B10" s="38" t="s">
        <v>161</v>
      </c>
      <c r="C10" s="75" t="s">
        <v>298</v>
      </c>
      <c r="D10" s="74">
        <v>300.0</v>
      </c>
      <c r="E10" s="77" t="s">
        <v>239</v>
      </c>
      <c r="F10" s="74">
        <v>45.0</v>
      </c>
      <c r="G10" s="74">
        <v>1.0</v>
      </c>
      <c r="H10" s="74" t="s">
        <v>237</v>
      </c>
      <c r="I10" s="77" t="s">
        <v>70</v>
      </c>
      <c r="J10" s="74">
        <v>45.0</v>
      </c>
      <c r="K10" s="78">
        <f t="shared" si="3"/>
        <v>0</v>
      </c>
      <c r="L10" s="74">
        <v>45.0</v>
      </c>
      <c r="M10" s="72" t="s">
        <v>299</v>
      </c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</row>
    <row r="11">
      <c r="A11" s="74">
        <v>12.0</v>
      </c>
      <c r="B11" s="75" t="s">
        <v>196</v>
      </c>
      <c r="C11" s="76" t="s">
        <v>300</v>
      </c>
      <c r="D11" s="74">
        <v>90.0</v>
      </c>
      <c r="E11" s="77" t="s">
        <v>239</v>
      </c>
      <c r="F11" s="74">
        <v>11.0</v>
      </c>
      <c r="G11" s="77">
        <v>1.0</v>
      </c>
      <c r="H11" s="74" t="s">
        <v>237</v>
      </c>
      <c r="I11" s="77" t="s">
        <v>239</v>
      </c>
      <c r="J11" s="74">
        <f t="shared" ref="J11:J17" si="4">F11*G11</f>
        <v>11</v>
      </c>
      <c r="K11" s="78">
        <f>0+9</f>
        <v>9</v>
      </c>
      <c r="L11" s="79">
        <f t="shared" ref="L11:L61" si="5">J11-K11</f>
        <v>2</v>
      </c>
      <c r="M11" s="72" t="s">
        <v>301</v>
      </c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</row>
    <row r="12">
      <c r="A12" s="74">
        <v>13.0</v>
      </c>
      <c r="B12" s="75" t="s">
        <v>114</v>
      </c>
      <c r="C12" s="76" t="s">
        <v>302</v>
      </c>
      <c r="D12" s="74">
        <v>100.0</v>
      </c>
      <c r="E12" s="77" t="s">
        <v>303</v>
      </c>
      <c r="F12" s="74">
        <v>11.0</v>
      </c>
      <c r="G12" s="77">
        <v>1.0</v>
      </c>
      <c r="H12" s="74"/>
      <c r="I12" s="77" t="s">
        <v>70</v>
      </c>
      <c r="J12" s="74">
        <f t="shared" si="4"/>
        <v>11</v>
      </c>
      <c r="K12" s="78">
        <v>5.0</v>
      </c>
      <c r="L12" s="79">
        <f t="shared" si="5"/>
        <v>6</v>
      </c>
      <c r="M12" s="72" t="s">
        <v>304</v>
      </c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</row>
    <row r="13">
      <c r="A13" s="74">
        <v>14.0</v>
      </c>
      <c r="B13" s="75" t="s">
        <v>177</v>
      </c>
      <c r="C13" s="76" t="s">
        <v>305</v>
      </c>
      <c r="D13" s="74">
        <v>240.0</v>
      </c>
      <c r="E13" s="77" t="s">
        <v>239</v>
      </c>
      <c r="F13" s="74">
        <v>42.0</v>
      </c>
      <c r="G13" s="77">
        <v>1.0</v>
      </c>
      <c r="H13" s="74" t="s">
        <v>237</v>
      </c>
      <c r="I13" s="77" t="s">
        <v>70</v>
      </c>
      <c r="J13" s="74">
        <f t="shared" si="4"/>
        <v>42</v>
      </c>
      <c r="K13" s="78">
        <v>26.0</v>
      </c>
      <c r="L13" s="79">
        <f t="shared" si="5"/>
        <v>16</v>
      </c>
      <c r="M13" s="72" t="s">
        <v>306</v>
      </c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</row>
    <row r="14">
      <c r="A14" s="74">
        <v>15.0</v>
      </c>
      <c r="B14" s="75" t="s">
        <v>124</v>
      </c>
      <c r="C14" s="76" t="s">
        <v>307</v>
      </c>
      <c r="D14" s="74">
        <v>175.0</v>
      </c>
      <c r="E14" s="77" t="s">
        <v>70</v>
      </c>
      <c r="F14" s="74">
        <v>16.0</v>
      </c>
      <c r="G14" s="77">
        <v>1.0</v>
      </c>
      <c r="H14" s="74" t="s">
        <v>237</v>
      </c>
      <c r="I14" s="77" t="s">
        <v>70</v>
      </c>
      <c r="J14" s="74">
        <f t="shared" si="4"/>
        <v>16</v>
      </c>
      <c r="K14" s="78">
        <v>8.5</v>
      </c>
      <c r="L14" s="79">
        <f t="shared" si="5"/>
        <v>7.5</v>
      </c>
      <c r="M14" s="72" t="s">
        <v>308</v>
      </c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</row>
    <row r="15">
      <c r="A15" s="74">
        <v>16.0</v>
      </c>
      <c r="B15" s="75" t="s">
        <v>132</v>
      </c>
      <c r="C15" s="76" t="s">
        <v>309</v>
      </c>
      <c r="D15" s="79"/>
      <c r="E15" s="77" t="s">
        <v>70</v>
      </c>
      <c r="F15" s="74">
        <v>47.0</v>
      </c>
      <c r="G15" s="77">
        <v>1.0</v>
      </c>
      <c r="H15" s="74" t="s">
        <v>237</v>
      </c>
      <c r="I15" s="77" t="s">
        <v>70</v>
      </c>
      <c r="J15" s="74">
        <f t="shared" si="4"/>
        <v>47</v>
      </c>
      <c r="K15" s="78">
        <f t="shared" ref="K15:K17" si="6">0+0</f>
        <v>0</v>
      </c>
      <c r="L15" s="79">
        <f t="shared" si="5"/>
        <v>47</v>
      </c>
      <c r="M15" s="72" t="s">
        <v>310</v>
      </c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</row>
    <row r="16">
      <c r="A16" s="74">
        <v>17.0</v>
      </c>
      <c r="B16" s="75" t="s">
        <v>311</v>
      </c>
      <c r="C16" s="76" t="s">
        <v>312</v>
      </c>
      <c r="D16" s="74">
        <v>399.0</v>
      </c>
      <c r="E16" s="77" t="s">
        <v>70</v>
      </c>
      <c r="F16" s="74">
        <v>1.5</v>
      </c>
      <c r="G16" s="77">
        <v>1.0</v>
      </c>
      <c r="H16" s="81">
        <v>46030.0</v>
      </c>
      <c r="I16" s="77" t="s">
        <v>70</v>
      </c>
      <c r="J16" s="74">
        <f t="shared" si="4"/>
        <v>1.5</v>
      </c>
      <c r="K16" s="78">
        <f t="shared" si="6"/>
        <v>0</v>
      </c>
      <c r="L16" s="79">
        <f t="shared" si="5"/>
        <v>1.5</v>
      </c>
      <c r="M16" s="72" t="s">
        <v>284</v>
      </c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</row>
    <row r="17">
      <c r="A17" s="74">
        <v>18.0</v>
      </c>
      <c r="B17" s="75" t="s">
        <v>313</v>
      </c>
      <c r="C17" s="76" t="s">
        <v>314</v>
      </c>
      <c r="D17" s="79"/>
      <c r="E17" s="77" t="s">
        <v>70</v>
      </c>
      <c r="F17" s="74">
        <v>0.25</v>
      </c>
      <c r="G17" s="77">
        <v>1.0</v>
      </c>
      <c r="H17" s="74" t="s">
        <v>237</v>
      </c>
      <c r="I17" s="77" t="s">
        <v>70</v>
      </c>
      <c r="J17" s="74">
        <f t="shared" si="4"/>
        <v>0.25</v>
      </c>
      <c r="K17" s="78">
        <f t="shared" si="6"/>
        <v>0</v>
      </c>
      <c r="L17" s="79">
        <f t="shared" si="5"/>
        <v>0.25</v>
      </c>
      <c r="M17" s="72" t="s">
        <v>315</v>
      </c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</row>
    <row r="18">
      <c r="A18" s="74">
        <v>19.0</v>
      </c>
      <c r="B18" s="75" t="s">
        <v>199</v>
      </c>
      <c r="C18" s="76" t="s">
        <v>316</v>
      </c>
      <c r="D18" s="82" t="s">
        <v>317</v>
      </c>
      <c r="E18" s="77" t="s">
        <v>70</v>
      </c>
      <c r="F18" s="74">
        <v>19.0</v>
      </c>
      <c r="G18" s="77">
        <v>1.0</v>
      </c>
      <c r="H18" s="83">
        <v>46030.0</v>
      </c>
      <c r="I18" s="77" t="s">
        <v>70</v>
      </c>
      <c r="J18" s="74">
        <v>19.0</v>
      </c>
      <c r="K18" s="78">
        <f>0+7</f>
        <v>7</v>
      </c>
      <c r="L18" s="79">
        <f t="shared" si="5"/>
        <v>12</v>
      </c>
      <c r="M18" s="72" t="s">
        <v>318</v>
      </c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</row>
    <row r="19">
      <c r="A19" s="74">
        <v>20.0</v>
      </c>
      <c r="B19" s="75" t="s">
        <v>319</v>
      </c>
      <c r="C19" s="76" t="s">
        <v>320</v>
      </c>
      <c r="D19" s="79"/>
      <c r="E19" s="77" t="s">
        <v>239</v>
      </c>
      <c r="F19" s="74">
        <v>57.0</v>
      </c>
      <c r="G19" s="77">
        <v>1.0</v>
      </c>
      <c r="H19" s="74" t="s">
        <v>237</v>
      </c>
      <c r="I19" s="77" t="s">
        <v>239</v>
      </c>
      <c r="J19" s="74">
        <v>57.0</v>
      </c>
      <c r="K19" s="78">
        <f t="shared" ref="K19:K20" si="7">0+0</f>
        <v>0</v>
      </c>
      <c r="L19" s="79">
        <f t="shared" si="5"/>
        <v>57</v>
      </c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</row>
    <row r="20">
      <c r="A20" s="74">
        <v>21.0</v>
      </c>
      <c r="B20" s="75" t="s">
        <v>219</v>
      </c>
      <c r="C20" s="76" t="s">
        <v>321</v>
      </c>
      <c r="D20" s="74">
        <v>5.6</v>
      </c>
      <c r="E20" s="77" t="s">
        <v>259</v>
      </c>
      <c r="F20" s="74">
        <f>117+60</f>
        <v>177</v>
      </c>
      <c r="G20" s="74">
        <v>1.0</v>
      </c>
      <c r="H20" s="74" t="s">
        <v>237</v>
      </c>
      <c r="I20" s="77" t="s">
        <v>70</v>
      </c>
      <c r="J20" s="74">
        <f t="shared" ref="J20:J29" si="8">F20*G20</f>
        <v>177</v>
      </c>
      <c r="K20" s="78">
        <f t="shared" si="7"/>
        <v>0</v>
      </c>
      <c r="L20" s="79">
        <f t="shared" si="5"/>
        <v>177</v>
      </c>
      <c r="M20" s="72" t="s">
        <v>322</v>
      </c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</row>
    <row r="21">
      <c r="A21" s="74">
        <v>22.0</v>
      </c>
      <c r="B21" s="75" t="s">
        <v>323</v>
      </c>
      <c r="C21" s="76" t="s">
        <v>324</v>
      </c>
      <c r="D21" s="74"/>
      <c r="E21" s="77" t="s">
        <v>70</v>
      </c>
      <c r="F21" s="74">
        <v>100.0</v>
      </c>
      <c r="G21" s="77">
        <v>1.0</v>
      </c>
      <c r="H21" s="74" t="s">
        <v>237</v>
      </c>
      <c r="I21" s="77" t="s">
        <v>70</v>
      </c>
      <c r="J21" s="74">
        <f t="shared" si="8"/>
        <v>100</v>
      </c>
      <c r="K21" s="78">
        <f>0+90</f>
        <v>90</v>
      </c>
      <c r="L21" s="79">
        <f t="shared" si="5"/>
        <v>10</v>
      </c>
      <c r="M21" s="72" t="s">
        <v>325</v>
      </c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</row>
    <row r="22">
      <c r="A22" s="74">
        <v>23.0</v>
      </c>
      <c r="B22" s="75" t="s">
        <v>326</v>
      </c>
      <c r="C22" s="76" t="s">
        <v>327</v>
      </c>
      <c r="D22" s="74">
        <v>45.0</v>
      </c>
      <c r="E22" s="77" t="s">
        <v>239</v>
      </c>
      <c r="F22" s="74">
        <v>5.0</v>
      </c>
      <c r="G22" s="77">
        <v>1.0</v>
      </c>
      <c r="H22" s="74" t="s">
        <v>237</v>
      </c>
      <c r="I22" s="77" t="s">
        <v>239</v>
      </c>
      <c r="J22" s="74">
        <f t="shared" si="8"/>
        <v>5</v>
      </c>
      <c r="K22" s="78">
        <f>0+0</f>
        <v>0</v>
      </c>
      <c r="L22" s="79">
        <f t="shared" si="5"/>
        <v>5</v>
      </c>
      <c r="M22" s="72" t="s">
        <v>328</v>
      </c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</row>
    <row r="23">
      <c r="A23" s="74">
        <v>24.0</v>
      </c>
      <c r="B23" s="75" t="s">
        <v>152</v>
      </c>
      <c r="C23" s="76" t="s">
        <v>329</v>
      </c>
      <c r="D23" s="79"/>
      <c r="E23" s="77" t="s">
        <v>70</v>
      </c>
      <c r="F23" s="74">
        <v>100.0</v>
      </c>
      <c r="G23" s="77">
        <v>1.0</v>
      </c>
      <c r="H23" s="74" t="s">
        <v>237</v>
      </c>
      <c r="I23" s="77" t="s">
        <v>70</v>
      </c>
      <c r="J23" s="74">
        <f t="shared" si="8"/>
        <v>100</v>
      </c>
      <c r="K23" s="78">
        <f>0+25</f>
        <v>25</v>
      </c>
      <c r="L23" s="79">
        <f t="shared" si="5"/>
        <v>75</v>
      </c>
      <c r="M23" s="72" t="s">
        <v>330</v>
      </c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</row>
    <row r="24">
      <c r="A24" s="74">
        <v>25.0</v>
      </c>
      <c r="B24" s="75" t="s">
        <v>331</v>
      </c>
      <c r="C24" s="76" t="s">
        <v>332</v>
      </c>
      <c r="D24" s="79"/>
      <c r="E24" s="77" t="s">
        <v>70</v>
      </c>
      <c r="F24" s="74">
        <v>8.0</v>
      </c>
      <c r="G24" s="77">
        <v>1.0</v>
      </c>
      <c r="H24" s="74" t="s">
        <v>237</v>
      </c>
      <c r="I24" s="77" t="s">
        <v>70</v>
      </c>
      <c r="J24" s="74">
        <f t="shared" si="8"/>
        <v>8</v>
      </c>
      <c r="K24" s="78">
        <f>0+0</f>
        <v>0</v>
      </c>
      <c r="L24" s="79">
        <f t="shared" si="5"/>
        <v>8</v>
      </c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</row>
    <row r="25">
      <c r="A25" s="74">
        <v>26.0</v>
      </c>
      <c r="B25" s="38" t="s">
        <v>172</v>
      </c>
      <c r="C25" s="75" t="s">
        <v>333</v>
      </c>
      <c r="D25" s="79"/>
      <c r="E25" s="77" t="s">
        <v>239</v>
      </c>
      <c r="F25" s="74">
        <v>37.0</v>
      </c>
      <c r="G25" s="74">
        <v>1.0</v>
      </c>
      <c r="H25" s="79"/>
      <c r="I25" s="77" t="s">
        <v>239</v>
      </c>
      <c r="J25" s="74">
        <f t="shared" si="8"/>
        <v>37</v>
      </c>
      <c r="K25" s="78">
        <v>26.0</v>
      </c>
      <c r="L25" s="79">
        <f t="shared" si="5"/>
        <v>11</v>
      </c>
      <c r="M25" s="72" t="s">
        <v>334</v>
      </c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</row>
    <row r="26">
      <c r="A26" s="74">
        <v>27.0</v>
      </c>
      <c r="B26" s="75" t="s">
        <v>110</v>
      </c>
      <c r="C26" s="76" t="s">
        <v>335</v>
      </c>
      <c r="D26" s="79"/>
      <c r="E26" s="77" t="s">
        <v>70</v>
      </c>
      <c r="F26" s="74">
        <v>25.0</v>
      </c>
      <c r="G26" s="77">
        <v>1.0</v>
      </c>
      <c r="H26" s="74" t="s">
        <v>237</v>
      </c>
      <c r="I26" s="77" t="s">
        <v>70</v>
      </c>
      <c r="J26" s="74">
        <f t="shared" si="8"/>
        <v>25</v>
      </c>
      <c r="K26" s="78">
        <f t="shared" ref="K26:K29" si="9">0+0</f>
        <v>0</v>
      </c>
      <c r="L26" s="79">
        <f t="shared" si="5"/>
        <v>25</v>
      </c>
      <c r="M26" s="72" t="s">
        <v>336</v>
      </c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</row>
    <row r="27">
      <c r="A27" s="74">
        <v>28.0</v>
      </c>
      <c r="B27" s="38" t="s">
        <v>337</v>
      </c>
      <c r="C27" s="75" t="s">
        <v>338</v>
      </c>
      <c r="D27" s="74">
        <v>60.0</v>
      </c>
      <c r="E27" s="77" t="s">
        <v>303</v>
      </c>
      <c r="F27" s="74">
        <v>1.0</v>
      </c>
      <c r="G27" s="74">
        <v>1.0</v>
      </c>
      <c r="H27" s="79"/>
      <c r="I27" s="77" t="s">
        <v>303</v>
      </c>
      <c r="J27" s="74">
        <f t="shared" si="8"/>
        <v>1</v>
      </c>
      <c r="K27" s="78">
        <f t="shared" si="9"/>
        <v>0</v>
      </c>
      <c r="L27" s="79">
        <f t="shared" si="5"/>
        <v>1</v>
      </c>
      <c r="M27" s="72" t="s">
        <v>339</v>
      </c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</row>
    <row r="28">
      <c r="A28" s="74">
        <v>29.0</v>
      </c>
      <c r="B28" s="75" t="s">
        <v>186</v>
      </c>
      <c r="C28" s="76" t="s">
        <v>340</v>
      </c>
      <c r="D28" s="74">
        <v>275.0</v>
      </c>
      <c r="E28" s="77" t="s">
        <v>70</v>
      </c>
      <c r="F28" s="74">
        <v>5.0</v>
      </c>
      <c r="G28" s="77">
        <v>3.0</v>
      </c>
      <c r="H28" s="74" t="s">
        <v>237</v>
      </c>
      <c r="I28" s="77" t="s">
        <v>70</v>
      </c>
      <c r="J28" s="74">
        <f t="shared" si="8"/>
        <v>15</v>
      </c>
      <c r="K28" s="78">
        <f t="shared" si="9"/>
        <v>0</v>
      </c>
      <c r="L28" s="79">
        <f t="shared" si="5"/>
        <v>15</v>
      </c>
      <c r="M28" s="72" t="s">
        <v>328</v>
      </c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</row>
    <row r="29">
      <c r="A29" s="74">
        <v>30.0</v>
      </c>
      <c r="B29" s="75" t="s">
        <v>341</v>
      </c>
      <c r="C29" s="76" t="s">
        <v>342</v>
      </c>
      <c r="D29" s="74">
        <v>800.0</v>
      </c>
      <c r="E29" s="77" t="s">
        <v>70</v>
      </c>
      <c r="F29" s="74">
        <v>10.0</v>
      </c>
      <c r="G29" s="77"/>
      <c r="H29" s="74" t="s">
        <v>237</v>
      </c>
      <c r="I29" s="77" t="s">
        <v>70</v>
      </c>
      <c r="J29" s="79">
        <f t="shared" si="8"/>
        <v>0</v>
      </c>
      <c r="K29" s="78">
        <f t="shared" si="9"/>
        <v>0</v>
      </c>
      <c r="L29" s="79">
        <f t="shared" si="5"/>
        <v>0</v>
      </c>
      <c r="M29" s="72" t="s">
        <v>343</v>
      </c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</row>
    <row r="30">
      <c r="A30" s="74">
        <v>31.0</v>
      </c>
      <c r="B30" s="75" t="s">
        <v>119</v>
      </c>
      <c r="C30" s="76" t="s">
        <v>344</v>
      </c>
      <c r="D30" s="74">
        <v>450.0</v>
      </c>
      <c r="E30" s="77" t="s">
        <v>70</v>
      </c>
      <c r="F30" s="74">
        <v>10.0</v>
      </c>
      <c r="G30" s="77">
        <v>1.0</v>
      </c>
      <c r="H30" s="74" t="s">
        <v>237</v>
      </c>
      <c r="I30" s="77" t="s">
        <v>70</v>
      </c>
      <c r="J30" s="74">
        <v>10.0</v>
      </c>
      <c r="K30" s="78">
        <v>8.5</v>
      </c>
      <c r="L30" s="79">
        <f t="shared" si="5"/>
        <v>1.5</v>
      </c>
      <c r="M30" s="72" t="s">
        <v>343</v>
      </c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</row>
    <row r="31">
      <c r="A31" s="74">
        <v>32.0</v>
      </c>
      <c r="B31" s="75" t="s">
        <v>198</v>
      </c>
      <c r="C31" s="76" t="s">
        <v>345</v>
      </c>
      <c r="D31" s="74" t="s">
        <v>346</v>
      </c>
      <c r="E31" s="77" t="s">
        <v>70</v>
      </c>
      <c r="F31" s="74">
        <f>5+6+3.5</f>
        <v>14.5</v>
      </c>
      <c r="G31" s="77">
        <v>1.0</v>
      </c>
      <c r="H31" s="74" t="s">
        <v>237</v>
      </c>
      <c r="I31" s="77" t="s">
        <v>70</v>
      </c>
      <c r="J31" s="74">
        <f t="shared" ref="J31:J47" si="10">F31*G31</f>
        <v>14.5</v>
      </c>
      <c r="K31" s="78">
        <v>11.0</v>
      </c>
      <c r="L31" s="79">
        <f t="shared" si="5"/>
        <v>3.5</v>
      </c>
      <c r="M31" s="72" t="s">
        <v>347</v>
      </c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</row>
    <row r="32">
      <c r="A32" s="74">
        <v>33.0</v>
      </c>
      <c r="B32" s="38" t="s">
        <v>348</v>
      </c>
      <c r="C32" s="75" t="s">
        <v>349</v>
      </c>
      <c r="D32" s="74">
        <v>90.0</v>
      </c>
      <c r="E32" s="77" t="s">
        <v>303</v>
      </c>
      <c r="F32" s="74">
        <v>1.0</v>
      </c>
      <c r="G32" s="74">
        <v>1.0</v>
      </c>
      <c r="H32" s="79"/>
      <c r="I32" s="77" t="s">
        <v>303</v>
      </c>
      <c r="J32" s="74">
        <f t="shared" si="10"/>
        <v>1</v>
      </c>
      <c r="K32" s="78">
        <f>0+0</f>
        <v>0</v>
      </c>
      <c r="L32" s="79">
        <f t="shared" si="5"/>
        <v>1</v>
      </c>
      <c r="M32" s="72" t="s">
        <v>350</v>
      </c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</row>
    <row r="33">
      <c r="A33" s="74">
        <v>34.0</v>
      </c>
      <c r="B33" s="75" t="s">
        <v>125</v>
      </c>
      <c r="C33" s="76" t="s">
        <v>351</v>
      </c>
      <c r="D33" s="74">
        <v>710.0</v>
      </c>
      <c r="E33" s="77" t="s">
        <v>70</v>
      </c>
      <c r="F33" s="74">
        <v>44.0</v>
      </c>
      <c r="G33" s="77">
        <v>1.0</v>
      </c>
      <c r="H33" s="74" t="s">
        <v>237</v>
      </c>
      <c r="I33" s="77" t="s">
        <v>70</v>
      </c>
      <c r="J33" s="74">
        <f t="shared" si="10"/>
        <v>44</v>
      </c>
      <c r="K33" s="78">
        <f>0+21</f>
        <v>21</v>
      </c>
      <c r="L33" s="79">
        <f t="shared" si="5"/>
        <v>23</v>
      </c>
      <c r="M33" s="72" t="s">
        <v>352</v>
      </c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</row>
    <row r="34">
      <c r="A34" s="74">
        <v>35.0</v>
      </c>
      <c r="B34" s="38" t="s">
        <v>353</v>
      </c>
      <c r="C34" s="75" t="s">
        <v>354</v>
      </c>
      <c r="D34" s="74">
        <v>90.0</v>
      </c>
      <c r="E34" s="77" t="s">
        <v>70</v>
      </c>
      <c r="F34" s="74">
        <v>0.5</v>
      </c>
      <c r="G34" s="74">
        <v>1.0</v>
      </c>
      <c r="H34" s="79"/>
      <c r="I34" s="77" t="s">
        <v>70</v>
      </c>
      <c r="J34" s="74">
        <f t="shared" si="10"/>
        <v>0.5</v>
      </c>
      <c r="K34" s="78">
        <f t="shared" ref="K34:K37" si="11">0+0</f>
        <v>0</v>
      </c>
      <c r="L34" s="79">
        <f t="shared" si="5"/>
        <v>0.5</v>
      </c>
      <c r="M34" s="72" t="s">
        <v>355</v>
      </c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</row>
    <row r="35">
      <c r="A35" s="74">
        <v>36.0</v>
      </c>
      <c r="B35" s="75" t="s">
        <v>356</v>
      </c>
      <c r="C35" s="76" t="s">
        <v>357</v>
      </c>
      <c r="D35" s="74">
        <v>156.0</v>
      </c>
      <c r="E35" s="77" t="s">
        <v>70</v>
      </c>
      <c r="F35" s="74">
        <v>25.0</v>
      </c>
      <c r="G35" s="77">
        <v>1.0</v>
      </c>
      <c r="H35" s="84" t="s">
        <v>358</v>
      </c>
      <c r="I35" s="77" t="s">
        <v>70</v>
      </c>
      <c r="J35" s="74">
        <f t="shared" si="10"/>
        <v>25</v>
      </c>
      <c r="K35" s="78">
        <f t="shared" si="11"/>
        <v>0</v>
      </c>
      <c r="L35" s="79">
        <f t="shared" si="5"/>
        <v>25</v>
      </c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</row>
    <row r="36">
      <c r="A36" s="74">
        <v>37.0</v>
      </c>
      <c r="B36" s="75" t="s">
        <v>184</v>
      </c>
      <c r="C36" s="76" t="s">
        <v>359</v>
      </c>
      <c r="D36" s="74">
        <v>70.0</v>
      </c>
      <c r="E36" s="77" t="s">
        <v>239</v>
      </c>
      <c r="F36" s="74">
        <v>8.0</v>
      </c>
      <c r="G36" s="77">
        <v>1.0</v>
      </c>
      <c r="H36" s="74" t="s">
        <v>237</v>
      </c>
      <c r="I36" s="77" t="s">
        <v>70</v>
      </c>
      <c r="J36" s="74">
        <f t="shared" si="10"/>
        <v>8</v>
      </c>
      <c r="K36" s="78">
        <f t="shared" si="11"/>
        <v>0</v>
      </c>
      <c r="L36" s="79">
        <f t="shared" si="5"/>
        <v>8</v>
      </c>
      <c r="M36" s="72" t="s">
        <v>355</v>
      </c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</row>
    <row r="37">
      <c r="A37" s="74">
        <v>38.0</v>
      </c>
      <c r="B37" s="38" t="s">
        <v>144</v>
      </c>
      <c r="C37" s="75" t="s">
        <v>360</v>
      </c>
      <c r="D37" s="79"/>
      <c r="E37" s="77" t="s">
        <v>70</v>
      </c>
      <c r="F37" s="79"/>
      <c r="G37" s="79"/>
      <c r="H37" s="79"/>
      <c r="I37" s="77" t="s">
        <v>70</v>
      </c>
      <c r="J37" s="74">
        <f t="shared" si="10"/>
        <v>0</v>
      </c>
      <c r="K37" s="78">
        <f t="shared" si="11"/>
        <v>0</v>
      </c>
      <c r="L37" s="79">
        <f t="shared" si="5"/>
        <v>0</v>
      </c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</row>
    <row r="38">
      <c r="A38" s="74">
        <v>39.0</v>
      </c>
      <c r="B38" s="38" t="s">
        <v>190</v>
      </c>
      <c r="C38" s="75" t="s">
        <v>361</v>
      </c>
      <c r="D38" s="74">
        <v>180.0</v>
      </c>
      <c r="E38" s="77" t="s">
        <v>239</v>
      </c>
      <c r="F38" s="74">
        <v>16.0</v>
      </c>
      <c r="G38" s="74">
        <v>1.0</v>
      </c>
      <c r="H38" s="79"/>
      <c r="I38" s="77" t="s">
        <v>239</v>
      </c>
      <c r="J38" s="74">
        <f t="shared" si="10"/>
        <v>16</v>
      </c>
      <c r="K38" s="78">
        <f>0+12</f>
        <v>12</v>
      </c>
      <c r="L38" s="79">
        <f t="shared" si="5"/>
        <v>4</v>
      </c>
      <c r="M38" s="72" t="s">
        <v>343</v>
      </c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</row>
    <row r="39">
      <c r="A39" s="74">
        <v>40.0</v>
      </c>
      <c r="B39" s="75" t="s">
        <v>215</v>
      </c>
      <c r="C39" s="76" t="s">
        <v>362</v>
      </c>
      <c r="D39" s="79"/>
      <c r="E39" s="77" t="s">
        <v>84</v>
      </c>
      <c r="F39" s="74">
        <v>12.0</v>
      </c>
      <c r="G39" s="77">
        <v>1.0</v>
      </c>
      <c r="H39" s="74" t="s">
        <v>237</v>
      </c>
      <c r="I39" s="77" t="s">
        <v>84</v>
      </c>
      <c r="J39" s="74">
        <f t="shared" si="10"/>
        <v>12</v>
      </c>
      <c r="K39" s="78">
        <f t="shared" ref="K39:K40" si="12">0+0</f>
        <v>0</v>
      </c>
      <c r="L39" s="79">
        <f t="shared" si="5"/>
        <v>12</v>
      </c>
      <c r="M39" s="72" t="s">
        <v>363</v>
      </c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</row>
    <row r="40">
      <c r="A40" s="74">
        <v>41.0</v>
      </c>
      <c r="B40" s="75" t="s">
        <v>364</v>
      </c>
      <c r="C40" s="76" t="s">
        <v>365</v>
      </c>
      <c r="D40" s="79"/>
      <c r="E40" s="77" t="s">
        <v>70</v>
      </c>
      <c r="F40" s="74">
        <v>1.0</v>
      </c>
      <c r="G40" s="77">
        <v>1.0</v>
      </c>
      <c r="H40" s="74" t="s">
        <v>237</v>
      </c>
      <c r="I40" s="77" t="s">
        <v>70</v>
      </c>
      <c r="J40" s="74">
        <f t="shared" si="10"/>
        <v>1</v>
      </c>
      <c r="K40" s="78">
        <f t="shared" si="12"/>
        <v>0</v>
      </c>
      <c r="L40" s="79">
        <f t="shared" si="5"/>
        <v>1</v>
      </c>
      <c r="M40" s="72" t="s">
        <v>366</v>
      </c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</row>
    <row r="41">
      <c r="A41" s="74">
        <v>42.0</v>
      </c>
      <c r="B41" s="75" t="s">
        <v>159</v>
      </c>
      <c r="C41" s="76" t="s">
        <v>367</v>
      </c>
      <c r="D41" s="74">
        <v>80.0</v>
      </c>
      <c r="E41" s="77" t="s">
        <v>239</v>
      </c>
      <c r="F41" s="74">
        <v>22.0</v>
      </c>
      <c r="G41" s="77">
        <v>1.0</v>
      </c>
      <c r="H41" s="74" t="s">
        <v>237</v>
      </c>
      <c r="I41" s="77" t="s">
        <v>239</v>
      </c>
      <c r="J41" s="74">
        <f t="shared" si="10"/>
        <v>22</v>
      </c>
      <c r="K41" s="78">
        <v>2.0</v>
      </c>
      <c r="L41" s="79">
        <f t="shared" si="5"/>
        <v>20</v>
      </c>
      <c r="M41" s="72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</row>
    <row r="42">
      <c r="A42" s="74">
        <v>43.0</v>
      </c>
      <c r="B42" s="75" t="s">
        <v>368</v>
      </c>
      <c r="C42" s="76" t="s">
        <v>369</v>
      </c>
      <c r="D42" s="74">
        <v>190.0</v>
      </c>
      <c r="E42" s="77" t="s">
        <v>370</v>
      </c>
      <c r="F42" s="74">
        <v>1.0</v>
      </c>
      <c r="G42" s="77">
        <v>1.0</v>
      </c>
      <c r="H42" s="74" t="s">
        <v>237</v>
      </c>
      <c r="I42" s="77" t="s">
        <v>370</v>
      </c>
      <c r="J42" s="74">
        <f t="shared" si="10"/>
        <v>1</v>
      </c>
      <c r="K42" s="78">
        <f>0+0</f>
        <v>0</v>
      </c>
      <c r="L42" s="79">
        <f t="shared" si="5"/>
        <v>1</v>
      </c>
      <c r="M42" s="72" t="s">
        <v>371</v>
      </c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</row>
    <row r="43">
      <c r="A43" s="74">
        <v>44.0</v>
      </c>
      <c r="B43" s="75" t="s">
        <v>372</v>
      </c>
      <c r="C43" s="76" t="s">
        <v>373</v>
      </c>
      <c r="D43" s="79"/>
      <c r="E43" s="77" t="s">
        <v>70</v>
      </c>
      <c r="F43" s="74">
        <v>150.0</v>
      </c>
      <c r="G43" s="77">
        <v>1.0</v>
      </c>
      <c r="H43" s="74" t="s">
        <v>237</v>
      </c>
      <c r="I43" s="77" t="s">
        <v>70</v>
      </c>
      <c r="J43" s="74">
        <f t="shared" si="10"/>
        <v>150</v>
      </c>
      <c r="K43" s="78">
        <f>0+60</f>
        <v>60</v>
      </c>
      <c r="L43" s="79">
        <f t="shared" si="5"/>
        <v>90</v>
      </c>
      <c r="M43" s="72" t="s">
        <v>374</v>
      </c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</row>
    <row r="44">
      <c r="A44" s="74">
        <v>45.0</v>
      </c>
      <c r="B44" s="75" t="s">
        <v>162</v>
      </c>
      <c r="C44" s="76" t="s">
        <v>375</v>
      </c>
      <c r="D44" s="74">
        <v>200.0</v>
      </c>
      <c r="E44" s="77" t="s">
        <v>239</v>
      </c>
      <c r="F44" s="74">
        <v>9.0</v>
      </c>
      <c r="G44" s="77">
        <v>1.0</v>
      </c>
      <c r="H44" s="74" t="s">
        <v>237</v>
      </c>
      <c r="I44" s="77" t="s">
        <v>239</v>
      </c>
      <c r="J44" s="74">
        <f t="shared" si="10"/>
        <v>9</v>
      </c>
      <c r="K44" s="78">
        <f>0+7</f>
        <v>7</v>
      </c>
      <c r="L44" s="79">
        <f t="shared" si="5"/>
        <v>2</v>
      </c>
      <c r="M44" s="72" t="s">
        <v>376</v>
      </c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</row>
    <row r="45">
      <c r="A45" s="74">
        <v>46.0</v>
      </c>
      <c r="B45" s="75" t="s">
        <v>377</v>
      </c>
      <c r="C45" s="76" t="s">
        <v>378</v>
      </c>
      <c r="D45" s="79"/>
      <c r="E45" s="77" t="s">
        <v>70</v>
      </c>
      <c r="F45" s="74">
        <v>4.0</v>
      </c>
      <c r="G45" s="77">
        <v>1.0</v>
      </c>
      <c r="H45" s="74" t="s">
        <v>237</v>
      </c>
      <c r="I45" s="77" t="s">
        <v>70</v>
      </c>
      <c r="J45" s="74">
        <f t="shared" si="10"/>
        <v>4</v>
      </c>
      <c r="K45" s="78">
        <f>0+0</f>
        <v>0</v>
      </c>
      <c r="L45" s="79">
        <f t="shared" si="5"/>
        <v>4</v>
      </c>
      <c r="M45" s="72" t="s">
        <v>376</v>
      </c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</row>
    <row r="46">
      <c r="A46" s="74">
        <v>47.0</v>
      </c>
      <c r="B46" s="75" t="s">
        <v>163</v>
      </c>
      <c r="C46" s="76" t="s">
        <v>379</v>
      </c>
      <c r="D46" s="79"/>
      <c r="E46" s="77" t="s">
        <v>70</v>
      </c>
      <c r="F46" s="74">
        <v>118.0</v>
      </c>
      <c r="G46" s="77">
        <v>1.0</v>
      </c>
      <c r="H46" s="74" t="s">
        <v>237</v>
      </c>
      <c r="I46" s="77" t="s">
        <v>70</v>
      </c>
      <c r="J46" s="74">
        <f t="shared" si="10"/>
        <v>118</v>
      </c>
      <c r="K46" s="78">
        <f>0+53</f>
        <v>53</v>
      </c>
      <c r="L46" s="79">
        <f t="shared" si="5"/>
        <v>65</v>
      </c>
      <c r="M46" s="72" t="s">
        <v>380</v>
      </c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</row>
    <row r="47">
      <c r="A47" s="74">
        <v>48.0</v>
      </c>
      <c r="B47" s="75" t="s">
        <v>381</v>
      </c>
      <c r="C47" s="76" t="s">
        <v>382</v>
      </c>
      <c r="D47" s="79"/>
      <c r="E47" s="77" t="s">
        <v>70</v>
      </c>
      <c r="F47" s="74">
        <v>2.0</v>
      </c>
      <c r="G47" s="74">
        <v>1.0</v>
      </c>
      <c r="H47" s="74" t="s">
        <v>237</v>
      </c>
      <c r="I47" s="77" t="s">
        <v>70</v>
      </c>
      <c r="J47" s="74">
        <f t="shared" si="10"/>
        <v>2</v>
      </c>
      <c r="K47" s="78">
        <f t="shared" ref="K47:K48" si="13">0+0</f>
        <v>0</v>
      </c>
      <c r="L47" s="79">
        <f t="shared" si="5"/>
        <v>2</v>
      </c>
      <c r="M47" s="72" t="s">
        <v>334</v>
      </c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</row>
    <row r="48">
      <c r="A48" s="74">
        <v>49.0</v>
      </c>
      <c r="B48" s="75" t="s">
        <v>383</v>
      </c>
      <c r="C48" s="76" t="s">
        <v>384</v>
      </c>
      <c r="D48" s="79"/>
      <c r="E48" s="77" t="s">
        <v>70</v>
      </c>
      <c r="F48" s="74">
        <v>0.5</v>
      </c>
      <c r="G48" s="77"/>
      <c r="H48" s="74" t="s">
        <v>237</v>
      </c>
      <c r="I48" s="77" t="s">
        <v>70</v>
      </c>
      <c r="J48" s="74">
        <v>0.5</v>
      </c>
      <c r="K48" s="78">
        <f t="shared" si="13"/>
        <v>0</v>
      </c>
      <c r="L48" s="79">
        <f t="shared" si="5"/>
        <v>0.5</v>
      </c>
      <c r="M48" s="72" t="s">
        <v>355</v>
      </c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</row>
    <row r="49">
      <c r="A49" s="74">
        <v>50.0</v>
      </c>
      <c r="B49" s="75" t="s">
        <v>178</v>
      </c>
      <c r="C49" s="76" t="s">
        <v>385</v>
      </c>
      <c r="D49" s="79"/>
      <c r="E49" s="77" t="s">
        <v>70</v>
      </c>
      <c r="F49" s="74">
        <v>16.0</v>
      </c>
      <c r="G49" s="77">
        <v>1.0</v>
      </c>
      <c r="H49" s="74" t="s">
        <v>237</v>
      </c>
      <c r="I49" s="77" t="s">
        <v>70</v>
      </c>
      <c r="J49" s="74">
        <f t="shared" ref="J49:J55" si="14">F49*G49</f>
        <v>16</v>
      </c>
      <c r="K49" s="78">
        <v>11.0</v>
      </c>
      <c r="L49" s="79">
        <f t="shared" si="5"/>
        <v>5</v>
      </c>
      <c r="M49" s="72" t="s">
        <v>386</v>
      </c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</row>
    <row r="50">
      <c r="A50" s="74">
        <v>51.0</v>
      </c>
      <c r="B50" s="75" t="s">
        <v>387</v>
      </c>
      <c r="C50" s="76" t="s">
        <v>388</v>
      </c>
      <c r="D50" s="74">
        <v>180.0</v>
      </c>
      <c r="E50" s="77" t="s">
        <v>70</v>
      </c>
      <c r="F50" s="74">
        <v>20.0</v>
      </c>
      <c r="G50" s="77">
        <v>1.0</v>
      </c>
      <c r="H50" s="74" t="s">
        <v>237</v>
      </c>
      <c r="I50" s="77" t="s">
        <v>70</v>
      </c>
      <c r="J50" s="74">
        <f t="shared" si="14"/>
        <v>20</v>
      </c>
      <c r="K50" s="78">
        <f>0+1</f>
        <v>1</v>
      </c>
      <c r="L50" s="79">
        <f t="shared" si="5"/>
        <v>19</v>
      </c>
      <c r="M50" s="72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</row>
    <row r="51">
      <c r="A51" s="74"/>
      <c r="B51" s="75" t="s">
        <v>120</v>
      </c>
      <c r="C51" s="85" t="s">
        <v>389</v>
      </c>
      <c r="D51" s="79"/>
      <c r="E51" s="77" t="s">
        <v>239</v>
      </c>
      <c r="F51" s="74">
        <v>34.0</v>
      </c>
      <c r="G51" s="74">
        <v>1.0</v>
      </c>
      <c r="H51" s="74"/>
      <c r="I51" s="77" t="s">
        <v>239</v>
      </c>
      <c r="J51" s="74">
        <f t="shared" si="14"/>
        <v>34</v>
      </c>
      <c r="K51" s="78">
        <f>0+10</f>
        <v>10</v>
      </c>
      <c r="L51" s="79">
        <f t="shared" si="5"/>
        <v>24</v>
      </c>
      <c r="M51" s="72" t="s">
        <v>390</v>
      </c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</row>
    <row r="52">
      <c r="A52" s="74">
        <v>52.0</v>
      </c>
      <c r="B52" s="75" t="s">
        <v>391</v>
      </c>
      <c r="C52" s="76" t="s">
        <v>392</v>
      </c>
      <c r="D52" s="79"/>
      <c r="E52" s="77" t="s">
        <v>70</v>
      </c>
      <c r="F52" s="74">
        <v>17.0</v>
      </c>
      <c r="G52" s="74">
        <v>1.0</v>
      </c>
      <c r="H52" s="74" t="s">
        <v>237</v>
      </c>
      <c r="I52" s="77" t="s">
        <v>70</v>
      </c>
      <c r="J52" s="79">
        <f t="shared" si="14"/>
        <v>17</v>
      </c>
      <c r="K52" s="78">
        <f>0+0</f>
        <v>0</v>
      </c>
      <c r="L52" s="79">
        <f t="shared" si="5"/>
        <v>17</v>
      </c>
      <c r="M52" s="72" t="s">
        <v>386</v>
      </c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</row>
    <row r="53">
      <c r="A53" s="74">
        <v>53.0</v>
      </c>
      <c r="B53" s="75" t="s">
        <v>393</v>
      </c>
      <c r="C53" s="76" t="s">
        <v>394</v>
      </c>
      <c r="D53" s="79"/>
      <c r="E53" s="77" t="s">
        <v>70</v>
      </c>
      <c r="F53" s="74">
        <v>16.0</v>
      </c>
      <c r="G53" s="77">
        <v>1.0</v>
      </c>
      <c r="H53" s="74" t="s">
        <v>237</v>
      </c>
      <c r="I53" s="77" t="s">
        <v>70</v>
      </c>
      <c r="J53" s="74">
        <f t="shared" si="14"/>
        <v>16</v>
      </c>
      <c r="K53" s="78">
        <v>8.0</v>
      </c>
      <c r="L53" s="79">
        <f t="shared" si="5"/>
        <v>8</v>
      </c>
      <c r="M53" s="72" t="s">
        <v>395</v>
      </c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</row>
    <row r="54">
      <c r="A54" s="74">
        <v>54.0</v>
      </c>
      <c r="B54" s="75" t="s">
        <v>182</v>
      </c>
      <c r="C54" s="76" t="s">
        <v>396</v>
      </c>
      <c r="D54" s="79"/>
      <c r="E54" s="77" t="s">
        <v>397</v>
      </c>
      <c r="F54" s="74">
        <v>2.0</v>
      </c>
      <c r="G54" s="77">
        <v>1.0</v>
      </c>
      <c r="H54" s="74" t="s">
        <v>237</v>
      </c>
      <c r="I54" s="77" t="s">
        <v>397</v>
      </c>
      <c r="J54" s="74">
        <f t="shared" si="14"/>
        <v>2</v>
      </c>
      <c r="K54" s="78">
        <v>1.0</v>
      </c>
      <c r="L54" s="79">
        <f t="shared" si="5"/>
        <v>1</v>
      </c>
      <c r="M54" s="72" t="s">
        <v>398</v>
      </c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</row>
    <row r="55">
      <c r="A55" s="74">
        <v>55.0</v>
      </c>
      <c r="B55" s="75" t="s">
        <v>133</v>
      </c>
      <c r="C55" s="76" t="s">
        <v>399</v>
      </c>
      <c r="D55" s="79"/>
      <c r="E55" s="77" t="s">
        <v>397</v>
      </c>
      <c r="F55" s="74">
        <f>30+50</f>
        <v>80</v>
      </c>
      <c r="G55" s="77">
        <v>1.0</v>
      </c>
      <c r="H55" s="74" t="s">
        <v>237</v>
      </c>
      <c r="I55" s="77" t="s">
        <v>397</v>
      </c>
      <c r="J55" s="74">
        <f t="shared" si="14"/>
        <v>80</v>
      </c>
      <c r="K55" s="78">
        <v>27.0</v>
      </c>
      <c r="L55" s="79">
        <f t="shared" si="5"/>
        <v>53</v>
      </c>
      <c r="M55" s="72" t="s">
        <v>400</v>
      </c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</row>
    <row r="56">
      <c r="A56" s="74">
        <v>56.0</v>
      </c>
      <c r="B56" s="75" t="s">
        <v>401</v>
      </c>
      <c r="C56" s="76" t="s">
        <v>402</v>
      </c>
      <c r="D56" s="79"/>
      <c r="E56" s="77" t="s">
        <v>70</v>
      </c>
      <c r="F56" s="74">
        <v>5.6</v>
      </c>
      <c r="G56" s="77">
        <v>1.0</v>
      </c>
      <c r="H56" s="74" t="s">
        <v>237</v>
      </c>
      <c r="I56" s="77" t="s">
        <v>70</v>
      </c>
      <c r="J56" s="74">
        <v>5.6</v>
      </c>
      <c r="K56" s="78">
        <f t="shared" ref="K56:K57" si="15">0+0</f>
        <v>0</v>
      </c>
      <c r="L56" s="79">
        <f t="shared" si="5"/>
        <v>5.6</v>
      </c>
      <c r="M56" s="72" t="s">
        <v>374</v>
      </c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</row>
    <row r="57">
      <c r="A57" s="74">
        <v>57.0</v>
      </c>
      <c r="B57" s="75" t="s">
        <v>118</v>
      </c>
      <c r="C57" s="76" t="s">
        <v>403</v>
      </c>
      <c r="D57" s="74">
        <v>90.0</v>
      </c>
      <c r="E57" s="77" t="s">
        <v>70</v>
      </c>
      <c r="F57" s="74">
        <v>19.0</v>
      </c>
      <c r="G57" s="77">
        <v>1.0</v>
      </c>
      <c r="H57" s="74" t="s">
        <v>237</v>
      </c>
      <c r="I57" s="77" t="s">
        <v>70</v>
      </c>
      <c r="J57" s="74">
        <f>F57*G57</f>
        <v>19</v>
      </c>
      <c r="K57" s="78">
        <f t="shared" si="15"/>
        <v>0</v>
      </c>
      <c r="L57" s="79">
        <f t="shared" si="5"/>
        <v>19</v>
      </c>
      <c r="M57" s="72" t="s">
        <v>404</v>
      </c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</row>
    <row r="58">
      <c r="A58" s="74">
        <v>58.0</v>
      </c>
      <c r="B58" s="75" t="s">
        <v>179</v>
      </c>
      <c r="C58" s="76" t="s">
        <v>405</v>
      </c>
      <c r="D58" s="74">
        <v>64.0</v>
      </c>
      <c r="E58" s="77" t="s">
        <v>239</v>
      </c>
      <c r="F58" s="74">
        <v>50.0</v>
      </c>
      <c r="G58" s="77">
        <v>1.0</v>
      </c>
      <c r="H58" s="74" t="s">
        <v>237</v>
      </c>
      <c r="I58" s="77" t="s">
        <v>70</v>
      </c>
      <c r="J58" s="74">
        <v>50.0</v>
      </c>
      <c r="K58" s="78">
        <f>0+10</f>
        <v>10</v>
      </c>
      <c r="L58" s="79">
        <f t="shared" si="5"/>
        <v>40</v>
      </c>
      <c r="M58" s="72" t="s">
        <v>406</v>
      </c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</row>
    <row r="59">
      <c r="A59" s="74">
        <v>59.0</v>
      </c>
      <c r="B59" s="75" t="s">
        <v>407</v>
      </c>
      <c r="C59" s="76" t="s">
        <v>408</v>
      </c>
      <c r="D59" s="79"/>
      <c r="E59" s="77" t="s">
        <v>70</v>
      </c>
      <c r="F59" s="74">
        <v>3.2</v>
      </c>
      <c r="G59" s="77">
        <v>1.0</v>
      </c>
      <c r="H59" s="74" t="s">
        <v>237</v>
      </c>
      <c r="I59" s="77" t="s">
        <v>70</v>
      </c>
      <c r="J59" s="74">
        <f t="shared" ref="J59:J61" si="16">F59*G59</f>
        <v>3.2</v>
      </c>
      <c r="K59" s="78">
        <f t="shared" ref="K59:K63" si="17">0+0</f>
        <v>0</v>
      </c>
      <c r="L59" s="79">
        <f t="shared" si="5"/>
        <v>3.2</v>
      </c>
      <c r="M59" s="72" t="s">
        <v>352</v>
      </c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</row>
    <row r="60">
      <c r="A60" s="74">
        <v>60.0</v>
      </c>
      <c r="B60" s="75" t="s">
        <v>409</v>
      </c>
      <c r="C60" s="76" t="s">
        <v>410</v>
      </c>
      <c r="D60" s="79"/>
      <c r="E60" s="77" t="s">
        <v>70</v>
      </c>
      <c r="F60" s="74">
        <v>2.0</v>
      </c>
      <c r="G60" s="77">
        <v>1.0</v>
      </c>
      <c r="H60" s="74" t="s">
        <v>237</v>
      </c>
      <c r="I60" s="77" t="s">
        <v>70</v>
      </c>
      <c r="J60" s="74">
        <f t="shared" si="16"/>
        <v>2</v>
      </c>
      <c r="K60" s="78">
        <f t="shared" si="17"/>
        <v>0</v>
      </c>
      <c r="L60" s="79">
        <f t="shared" si="5"/>
        <v>2</v>
      </c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</row>
    <row r="61">
      <c r="A61" s="74">
        <v>61.0</v>
      </c>
      <c r="B61" s="75" t="s">
        <v>145</v>
      </c>
      <c r="C61" s="76" t="s">
        <v>411</v>
      </c>
      <c r="D61" s="79"/>
      <c r="E61" s="77" t="s">
        <v>70</v>
      </c>
      <c r="F61" s="74">
        <v>10.0</v>
      </c>
      <c r="G61" s="77">
        <v>1.0</v>
      </c>
      <c r="H61" s="74" t="s">
        <v>237</v>
      </c>
      <c r="I61" s="77" t="s">
        <v>70</v>
      </c>
      <c r="J61" s="79">
        <f t="shared" si="16"/>
        <v>10</v>
      </c>
      <c r="K61" s="78">
        <f t="shared" si="17"/>
        <v>0</v>
      </c>
      <c r="L61" s="79">
        <f t="shared" si="5"/>
        <v>10</v>
      </c>
      <c r="M61" s="72" t="s">
        <v>352</v>
      </c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2">
      <c r="A62" s="74">
        <v>62.0</v>
      </c>
      <c r="B62" s="75" t="s">
        <v>169</v>
      </c>
      <c r="C62" s="76"/>
      <c r="D62" s="79"/>
      <c r="E62" s="77"/>
      <c r="F62" s="74"/>
      <c r="G62" s="77"/>
      <c r="H62" s="74"/>
      <c r="I62" s="77"/>
      <c r="J62" s="74"/>
      <c r="K62" s="78">
        <f t="shared" si="17"/>
        <v>0</v>
      </c>
      <c r="L62" s="79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</row>
    <row r="63">
      <c r="A63" s="74">
        <v>63.0</v>
      </c>
      <c r="B63" s="75" t="s">
        <v>412</v>
      </c>
      <c r="C63" s="76" t="s">
        <v>413</v>
      </c>
      <c r="D63" s="79"/>
      <c r="E63" s="77" t="s">
        <v>70</v>
      </c>
      <c r="F63" s="74">
        <v>1.0</v>
      </c>
      <c r="G63" s="77">
        <v>30.0</v>
      </c>
      <c r="H63" s="74" t="s">
        <v>237</v>
      </c>
      <c r="I63" s="77" t="s">
        <v>70</v>
      </c>
      <c r="J63" s="74">
        <f t="shared" ref="J63:J67" si="18">F63*G63</f>
        <v>30</v>
      </c>
      <c r="K63" s="78">
        <f t="shared" si="17"/>
        <v>0</v>
      </c>
      <c r="L63" s="79">
        <f t="shared" ref="L63:L96" si="19">J63-K63</f>
        <v>30</v>
      </c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</row>
    <row r="64">
      <c r="A64" s="74">
        <v>63.0</v>
      </c>
      <c r="B64" s="75" t="s">
        <v>414</v>
      </c>
      <c r="C64" s="76" t="s">
        <v>415</v>
      </c>
      <c r="D64" s="79"/>
      <c r="E64" s="77" t="s">
        <v>70</v>
      </c>
      <c r="F64" s="74">
        <v>3.0</v>
      </c>
      <c r="G64" s="77">
        <v>1.0</v>
      </c>
      <c r="H64" s="74" t="s">
        <v>237</v>
      </c>
      <c r="I64" s="77" t="s">
        <v>70</v>
      </c>
      <c r="J64" s="79">
        <f t="shared" si="18"/>
        <v>3</v>
      </c>
      <c r="K64" s="78">
        <f>0+1</f>
        <v>1</v>
      </c>
      <c r="L64" s="79">
        <f t="shared" si="19"/>
        <v>2</v>
      </c>
      <c r="M64" s="72" t="s">
        <v>355</v>
      </c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</row>
    <row r="65">
      <c r="A65" s="74">
        <v>64.0</v>
      </c>
      <c r="B65" s="75" t="s">
        <v>416</v>
      </c>
      <c r="C65" s="76" t="s">
        <v>417</v>
      </c>
      <c r="D65" s="74">
        <v>84.0</v>
      </c>
      <c r="E65" s="77" t="s">
        <v>70</v>
      </c>
      <c r="F65" s="74">
        <v>5.0</v>
      </c>
      <c r="G65" s="77">
        <v>1.0</v>
      </c>
      <c r="H65" s="74" t="s">
        <v>237</v>
      </c>
      <c r="I65" s="77" t="s">
        <v>70</v>
      </c>
      <c r="J65" s="74">
        <f t="shared" si="18"/>
        <v>5</v>
      </c>
      <c r="K65" s="78">
        <f t="shared" ref="K65:K66" si="20">0+0</f>
        <v>0</v>
      </c>
      <c r="L65" s="79">
        <f t="shared" si="19"/>
        <v>5</v>
      </c>
      <c r="M65" s="72" t="s">
        <v>386</v>
      </c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</row>
    <row r="66">
      <c r="A66" s="74">
        <v>65.0</v>
      </c>
      <c r="B66" s="75" t="s">
        <v>418</v>
      </c>
      <c r="C66" s="76" t="s">
        <v>419</v>
      </c>
      <c r="D66" s="74">
        <v>84.0</v>
      </c>
      <c r="E66" s="77" t="s">
        <v>70</v>
      </c>
      <c r="F66" s="74">
        <v>30.0</v>
      </c>
      <c r="G66" s="77">
        <v>1.0</v>
      </c>
      <c r="H66" s="74" t="s">
        <v>237</v>
      </c>
      <c r="I66" s="77" t="s">
        <v>70</v>
      </c>
      <c r="J66" s="74">
        <f t="shared" si="18"/>
        <v>30</v>
      </c>
      <c r="K66" s="78">
        <f t="shared" si="20"/>
        <v>0</v>
      </c>
      <c r="L66" s="79">
        <f t="shared" si="19"/>
        <v>30</v>
      </c>
      <c r="M66" s="72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</row>
    <row r="67">
      <c r="A67" s="74">
        <v>66.0</v>
      </c>
      <c r="B67" s="75" t="s">
        <v>420</v>
      </c>
      <c r="C67" s="76" t="s">
        <v>421</v>
      </c>
      <c r="D67" s="74">
        <v>180.0</v>
      </c>
      <c r="E67" s="77" t="s">
        <v>70</v>
      </c>
      <c r="F67" s="74">
        <v>5.0</v>
      </c>
      <c r="G67" s="77">
        <v>1.0</v>
      </c>
      <c r="H67" s="74" t="s">
        <v>237</v>
      </c>
      <c r="I67" s="77" t="s">
        <v>70</v>
      </c>
      <c r="J67" s="74">
        <f t="shared" si="18"/>
        <v>5</v>
      </c>
      <c r="K67" s="78">
        <f>0+4.6</f>
        <v>4.6</v>
      </c>
      <c r="L67" s="79">
        <f t="shared" si="19"/>
        <v>0.4</v>
      </c>
      <c r="M67" s="72" t="s">
        <v>355</v>
      </c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</row>
    <row r="68">
      <c r="A68" s="74">
        <v>67.0</v>
      </c>
      <c r="B68" s="86" t="s">
        <v>194</v>
      </c>
      <c r="C68" s="87" t="s">
        <v>422</v>
      </c>
      <c r="D68" s="88"/>
      <c r="E68" s="89" t="s">
        <v>70</v>
      </c>
      <c r="F68" s="90">
        <v>8.0</v>
      </c>
      <c r="G68" s="89">
        <v>1.0</v>
      </c>
      <c r="H68" s="90" t="s">
        <v>237</v>
      </c>
      <c r="I68" s="89" t="s">
        <v>70</v>
      </c>
      <c r="J68" s="90">
        <v>8.0</v>
      </c>
      <c r="K68" s="91">
        <f>0+0</f>
        <v>0</v>
      </c>
      <c r="L68" s="88">
        <f t="shared" si="19"/>
        <v>8</v>
      </c>
      <c r="M68" s="72" t="s">
        <v>423</v>
      </c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</row>
    <row r="69">
      <c r="A69" s="74">
        <v>68.0</v>
      </c>
      <c r="B69" s="75" t="s">
        <v>191</v>
      </c>
      <c r="C69" s="76" t="s">
        <v>424</v>
      </c>
      <c r="D69" s="74">
        <v>165.0</v>
      </c>
      <c r="E69" s="77" t="s">
        <v>239</v>
      </c>
      <c r="F69" s="74">
        <v>9.0</v>
      </c>
      <c r="G69" s="77">
        <v>1.0</v>
      </c>
      <c r="H69" s="74" t="s">
        <v>237</v>
      </c>
      <c r="I69" s="77" t="s">
        <v>239</v>
      </c>
      <c r="J69" s="74">
        <f t="shared" ref="J69:J95" si="21">F69*G69</f>
        <v>9</v>
      </c>
      <c r="K69" s="78">
        <f>0+6</f>
        <v>6</v>
      </c>
      <c r="L69" s="79">
        <f t="shared" si="19"/>
        <v>3</v>
      </c>
      <c r="M69" s="72" t="s">
        <v>425</v>
      </c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</row>
    <row r="70">
      <c r="A70" s="74">
        <v>69.0</v>
      </c>
      <c r="B70" s="75" t="s">
        <v>188</v>
      </c>
      <c r="C70" s="76" t="s">
        <v>426</v>
      </c>
      <c r="D70" s="79"/>
      <c r="E70" s="77" t="s">
        <v>239</v>
      </c>
      <c r="F70" s="74">
        <v>2.0</v>
      </c>
      <c r="G70" s="77">
        <v>1.0</v>
      </c>
      <c r="H70" s="74" t="s">
        <v>237</v>
      </c>
      <c r="I70" s="77" t="s">
        <v>239</v>
      </c>
      <c r="J70" s="74">
        <f t="shared" si="21"/>
        <v>2</v>
      </c>
      <c r="K70" s="78">
        <f t="shared" ref="K70:K74" si="22">0+0</f>
        <v>0</v>
      </c>
      <c r="L70" s="79">
        <f t="shared" si="19"/>
        <v>2</v>
      </c>
      <c r="M70" s="72" t="s">
        <v>94</v>
      </c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</row>
    <row r="71">
      <c r="A71" s="74">
        <v>70.0</v>
      </c>
      <c r="B71" s="75" t="s">
        <v>427</v>
      </c>
      <c r="C71" s="76" t="s">
        <v>428</v>
      </c>
      <c r="D71" s="79"/>
      <c r="E71" s="77" t="s">
        <v>239</v>
      </c>
      <c r="F71" s="74">
        <v>7.0</v>
      </c>
      <c r="G71" s="77">
        <v>1.0</v>
      </c>
      <c r="H71" s="74" t="s">
        <v>237</v>
      </c>
      <c r="I71" s="77" t="s">
        <v>84</v>
      </c>
      <c r="J71" s="74">
        <f t="shared" si="21"/>
        <v>7</v>
      </c>
      <c r="K71" s="78">
        <f t="shared" si="22"/>
        <v>0</v>
      </c>
      <c r="L71" s="79">
        <f t="shared" si="19"/>
        <v>7</v>
      </c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</row>
    <row r="72">
      <c r="A72" s="74">
        <v>71.0</v>
      </c>
      <c r="B72" s="75" t="s">
        <v>220</v>
      </c>
      <c r="C72" s="76" t="s">
        <v>429</v>
      </c>
      <c r="D72" s="74">
        <v>140.0</v>
      </c>
      <c r="E72" s="77" t="s">
        <v>239</v>
      </c>
      <c r="F72" s="74">
        <v>62.0</v>
      </c>
      <c r="G72" s="77">
        <v>1.0</v>
      </c>
      <c r="H72" s="74" t="s">
        <v>237</v>
      </c>
      <c r="I72" s="77" t="s">
        <v>239</v>
      </c>
      <c r="J72" s="74">
        <f t="shared" si="21"/>
        <v>62</v>
      </c>
      <c r="K72" s="78">
        <f t="shared" si="22"/>
        <v>0</v>
      </c>
      <c r="L72" s="79">
        <f t="shared" si="19"/>
        <v>62</v>
      </c>
      <c r="M72" s="72" t="s">
        <v>75</v>
      </c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</row>
    <row r="73">
      <c r="A73" s="74">
        <v>72.0</v>
      </c>
      <c r="B73" s="38" t="s">
        <v>430</v>
      </c>
      <c r="C73" s="75" t="s">
        <v>431</v>
      </c>
      <c r="D73" s="74"/>
      <c r="E73" s="77" t="s">
        <v>70</v>
      </c>
      <c r="F73" s="74">
        <v>0.5</v>
      </c>
      <c r="G73" s="74">
        <v>1.0</v>
      </c>
      <c r="H73" s="74" t="s">
        <v>237</v>
      </c>
      <c r="I73" s="77" t="s">
        <v>70</v>
      </c>
      <c r="J73" s="74">
        <f t="shared" si="21"/>
        <v>0.5</v>
      </c>
      <c r="K73" s="78">
        <f t="shared" si="22"/>
        <v>0</v>
      </c>
      <c r="L73" s="79">
        <f t="shared" si="19"/>
        <v>0.5</v>
      </c>
      <c r="M73" s="72" t="s">
        <v>432</v>
      </c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</row>
    <row r="74">
      <c r="A74" s="74">
        <v>73.0</v>
      </c>
      <c r="B74" s="75" t="s">
        <v>214</v>
      </c>
      <c r="C74" s="76" t="s">
        <v>433</v>
      </c>
      <c r="D74" s="79"/>
      <c r="E74" s="77" t="s">
        <v>239</v>
      </c>
      <c r="F74" s="74">
        <v>5.0</v>
      </c>
      <c r="G74" s="77">
        <v>1.0</v>
      </c>
      <c r="H74" s="74" t="s">
        <v>237</v>
      </c>
      <c r="I74" s="77" t="s">
        <v>70</v>
      </c>
      <c r="J74" s="74">
        <f t="shared" si="21"/>
        <v>5</v>
      </c>
      <c r="K74" s="78">
        <f t="shared" si="22"/>
        <v>0</v>
      </c>
      <c r="L74" s="79">
        <f t="shared" si="19"/>
        <v>5</v>
      </c>
      <c r="M74" s="72" t="s">
        <v>434</v>
      </c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</row>
    <row r="75">
      <c r="A75" s="74">
        <v>74.0</v>
      </c>
      <c r="B75" s="75" t="s">
        <v>139</v>
      </c>
      <c r="C75" s="76" t="s">
        <v>435</v>
      </c>
      <c r="D75" s="74">
        <v>249.0</v>
      </c>
      <c r="E75" s="77" t="s">
        <v>70</v>
      </c>
      <c r="F75" s="74">
        <f>118.5+10</f>
        <v>128.5</v>
      </c>
      <c r="G75" s="77">
        <v>1.0</v>
      </c>
      <c r="H75" s="74" t="s">
        <v>237</v>
      </c>
      <c r="I75" s="77" t="s">
        <v>70</v>
      </c>
      <c r="J75" s="74">
        <f t="shared" si="21"/>
        <v>128.5</v>
      </c>
      <c r="K75" s="78">
        <f>0+110.5</f>
        <v>110.5</v>
      </c>
      <c r="L75" s="79">
        <f t="shared" si="19"/>
        <v>18</v>
      </c>
      <c r="M75" s="72" t="s">
        <v>330</v>
      </c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</row>
    <row r="76">
      <c r="A76" s="74">
        <v>75.0</v>
      </c>
      <c r="B76" s="75" t="s">
        <v>130</v>
      </c>
      <c r="C76" s="76" t="s">
        <v>436</v>
      </c>
      <c r="D76" s="74">
        <v>140.0</v>
      </c>
      <c r="E76" s="77" t="s">
        <v>70</v>
      </c>
      <c r="F76" s="74">
        <v>50.0</v>
      </c>
      <c r="G76" s="77">
        <v>1.0</v>
      </c>
      <c r="H76" s="74" t="s">
        <v>237</v>
      </c>
      <c r="I76" s="77" t="s">
        <v>70</v>
      </c>
      <c r="J76" s="74">
        <f t="shared" si="21"/>
        <v>50</v>
      </c>
      <c r="K76" s="78">
        <f>0+14</f>
        <v>14</v>
      </c>
      <c r="L76" s="79">
        <f t="shared" si="19"/>
        <v>36</v>
      </c>
      <c r="M76" s="72" t="s">
        <v>437</v>
      </c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</row>
    <row r="77">
      <c r="A77" s="74">
        <v>76.0</v>
      </c>
      <c r="B77" s="75" t="s">
        <v>438</v>
      </c>
      <c r="C77" s="76" t="s">
        <v>439</v>
      </c>
      <c r="D77" s="79"/>
      <c r="E77" s="77" t="s">
        <v>70</v>
      </c>
      <c r="F77" s="74">
        <v>1.1</v>
      </c>
      <c r="G77" s="77">
        <v>1.0</v>
      </c>
      <c r="H77" s="74" t="s">
        <v>237</v>
      </c>
      <c r="I77" s="77" t="s">
        <v>70</v>
      </c>
      <c r="J77" s="74">
        <f t="shared" si="21"/>
        <v>1.1</v>
      </c>
      <c r="K77" s="78">
        <f t="shared" ref="K77:K78" si="23">0+0</f>
        <v>0</v>
      </c>
      <c r="L77" s="79">
        <f t="shared" si="19"/>
        <v>1.1</v>
      </c>
      <c r="M77" s="72" t="s">
        <v>355</v>
      </c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</row>
    <row r="78">
      <c r="A78" s="74">
        <v>77.0</v>
      </c>
      <c r="B78" s="75" t="s">
        <v>440</v>
      </c>
      <c r="C78" s="76" t="s">
        <v>441</v>
      </c>
      <c r="D78" s="74">
        <v>75.0</v>
      </c>
      <c r="E78" s="77" t="s">
        <v>70</v>
      </c>
      <c r="F78" s="74">
        <v>7.9</v>
      </c>
      <c r="G78" s="77">
        <v>1.0</v>
      </c>
      <c r="H78" s="74" t="s">
        <v>237</v>
      </c>
      <c r="I78" s="77" t="s">
        <v>70</v>
      </c>
      <c r="J78" s="74">
        <f t="shared" si="21"/>
        <v>7.9</v>
      </c>
      <c r="K78" s="78">
        <f t="shared" si="23"/>
        <v>0</v>
      </c>
      <c r="L78" s="79">
        <f t="shared" si="19"/>
        <v>7.9</v>
      </c>
      <c r="M78" s="72" t="s">
        <v>334</v>
      </c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</row>
    <row r="79">
      <c r="A79" s="74">
        <v>78.0</v>
      </c>
      <c r="B79" s="75" t="s">
        <v>142</v>
      </c>
      <c r="C79" s="76" t="s">
        <v>442</v>
      </c>
      <c r="D79" s="74">
        <v>2800.0</v>
      </c>
      <c r="E79" s="77" t="s">
        <v>70</v>
      </c>
      <c r="F79" s="74">
        <v>35.0</v>
      </c>
      <c r="G79" s="77">
        <v>1.0</v>
      </c>
      <c r="H79" s="74" t="s">
        <v>237</v>
      </c>
      <c r="I79" s="77" t="s">
        <v>70</v>
      </c>
      <c r="J79" s="74">
        <f t="shared" si="21"/>
        <v>35</v>
      </c>
      <c r="K79" s="78">
        <v>20.0</v>
      </c>
      <c r="L79" s="79">
        <f t="shared" si="19"/>
        <v>15</v>
      </c>
      <c r="M79" s="72" t="s">
        <v>443</v>
      </c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</row>
    <row r="80">
      <c r="A80" s="74">
        <v>79.0</v>
      </c>
      <c r="B80" s="75" t="s">
        <v>444</v>
      </c>
      <c r="C80" s="76" t="s">
        <v>445</v>
      </c>
      <c r="D80" s="74">
        <v>80.0</v>
      </c>
      <c r="E80" s="77" t="s">
        <v>239</v>
      </c>
      <c r="F80" s="74">
        <v>32.0</v>
      </c>
      <c r="G80" s="77">
        <v>1.0</v>
      </c>
      <c r="H80" s="74" t="s">
        <v>237</v>
      </c>
      <c r="I80" s="77" t="s">
        <v>239</v>
      </c>
      <c r="J80" s="74">
        <f t="shared" si="21"/>
        <v>32</v>
      </c>
      <c r="K80" s="78">
        <v>19.0</v>
      </c>
      <c r="L80" s="79">
        <f t="shared" si="19"/>
        <v>13</v>
      </c>
      <c r="M80" s="72" t="s">
        <v>446</v>
      </c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</row>
    <row r="81">
      <c r="A81" s="74">
        <v>80.0</v>
      </c>
      <c r="B81" s="75" t="s">
        <v>447</v>
      </c>
      <c r="C81" s="76" t="s">
        <v>448</v>
      </c>
      <c r="D81" s="74">
        <v>87.0</v>
      </c>
      <c r="E81" s="77" t="s">
        <v>70</v>
      </c>
      <c r="F81" s="74">
        <v>7.7</v>
      </c>
      <c r="G81" s="77">
        <v>1.0</v>
      </c>
      <c r="H81" s="74" t="s">
        <v>237</v>
      </c>
      <c r="I81" s="77" t="s">
        <v>70</v>
      </c>
      <c r="J81" s="74">
        <f t="shared" si="21"/>
        <v>7.7</v>
      </c>
      <c r="K81" s="78">
        <v>5.7</v>
      </c>
      <c r="L81" s="79">
        <f t="shared" si="19"/>
        <v>2</v>
      </c>
      <c r="M81" s="72" t="s">
        <v>366</v>
      </c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</row>
    <row r="82">
      <c r="A82" s="74">
        <v>81.0</v>
      </c>
      <c r="B82" s="75" t="s">
        <v>449</v>
      </c>
      <c r="C82" s="76" t="s">
        <v>450</v>
      </c>
      <c r="D82" s="74">
        <v>0.0</v>
      </c>
      <c r="E82" s="77" t="s">
        <v>239</v>
      </c>
      <c r="F82" s="74">
        <v>9.0</v>
      </c>
      <c r="G82" s="77">
        <v>1.0</v>
      </c>
      <c r="H82" s="74" t="s">
        <v>237</v>
      </c>
      <c r="I82" s="77" t="s">
        <v>239</v>
      </c>
      <c r="J82" s="74">
        <f t="shared" si="21"/>
        <v>9</v>
      </c>
      <c r="K82" s="78">
        <f t="shared" ref="K82:K92" si="24">0+0</f>
        <v>0</v>
      </c>
      <c r="L82" s="79">
        <f t="shared" si="19"/>
        <v>9</v>
      </c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</row>
    <row r="83">
      <c r="A83" s="74">
        <v>82.0</v>
      </c>
      <c r="B83" s="38" t="s">
        <v>451</v>
      </c>
      <c r="C83" s="75" t="s">
        <v>452</v>
      </c>
      <c r="D83" s="74">
        <v>50.0</v>
      </c>
      <c r="E83" s="77" t="s">
        <v>70</v>
      </c>
      <c r="F83" s="74">
        <v>0.5</v>
      </c>
      <c r="G83" s="74">
        <v>1.0</v>
      </c>
      <c r="H83" s="79"/>
      <c r="I83" s="77" t="s">
        <v>70</v>
      </c>
      <c r="J83" s="74">
        <f t="shared" si="21"/>
        <v>0.5</v>
      </c>
      <c r="K83" s="78">
        <f t="shared" si="24"/>
        <v>0</v>
      </c>
      <c r="L83" s="79">
        <f t="shared" si="19"/>
        <v>0.5</v>
      </c>
      <c r="M83" s="72" t="s">
        <v>453</v>
      </c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</row>
    <row r="84">
      <c r="A84" s="74">
        <v>83.0</v>
      </c>
      <c r="B84" s="75" t="s">
        <v>454</v>
      </c>
      <c r="C84" s="76" t="s">
        <v>455</v>
      </c>
      <c r="D84" s="74">
        <v>180.0</v>
      </c>
      <c r="E84" s="77" t="s">
        <v>239</v>
      </c>
      <c r="F84" s="74">
        <v>13.0</v>
      </c>
      <c r="G84" s="77">
        <v>1.0</v>
      </c>
      <c r="H84" s="74" t="s">
        <v>237</v>
      </c>
      <c r="I84" s="77" t="s">
        <v>239</v>
      </c>
      <c r="J84" s="74">
        <f t="shared" si="21"/>
        <v>13</v>
      </c>
      <c r="K84" s="78">
        <f t="shared" si="24"/>
        <v>0</v>
      </c>
      <c r="L84" s="79">
        <f t="shared" si="19"/>
        <v>13</v>
      </c>
      <c r="M84" s="72" t="s">
        <v>355</v>
      </c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</row>
    <row r="85">
      <c r="A85" s="74">
        <v>84.0</v>
      </c>
      <c r="B85" s="75" t="s">
        <v>149</v>
      </c>
      <c r="C85" s="75" t="s">
        <v>424</v>
      </c>
      <c r="D85" s="79"/>
      <c r="E85" s="77" t="s">
        <v>70</v>
      </c>
      <c r="F85" s="79"/>
      <c r="G85" s="79"/>
      <c r="H85" s="83">
        <v>46277.0</v>
      </c>
      <c r="I85" s="77" t="s">
        <v>70</v>
      </c>
      <c r="J85" s="74">
        <f t="shared" si="21"/>
        <v>0</v>
      </c>
      <c r="K85" s="78">
        <f t="shared" si="24"/>
        <v>0</v>
      </c>
      <c r="L85" s="79">
        <f t="shared" si="19"/>
        <v>0</v>
      </c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</row>
    <row r="86">
      <c r="A86" s="74">
        <v>85.0</v>
      </c>
      <c r="B86" s="75" t="s">
        <v>456</v>
      </c>
      <c r="C86" s="75" t="s">
        <v>457</v>
      </c>
      <c r="D86" s="79"/>
      <c r="E86" s="77" t="s">
        <v>70</v>
      </c>
      <c r="F86" s="74">
        <v>50.0</v>
      </c>
      <c r="G86" s="74">
        <v>1.0</v>
      </c>
      <c r="H86" s="79"/>
      <c r="I86" s="77" t="s">
        <v>70</v>
      </c>
      <c r="J86" s="74">
        <f t="shared" si="21"/>
        <v>50</v>
      </c>
      <c r="K86" s="78">
        <f t="shared" si="24"/>
        <v>0</v>
      </c>
      <c r="L86" s="79">
        <f t="shared" si="19"/>
        <v>50</v>
      </c>
      <c r="M86" s="72" t="s">
        <v>437</v>
      </c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</row>
    <row r="87">
      <c r="A87" s="74">
        <v>86.0</v>
      </c>
      <c r="B87" s="75" t="s">
        <v>458</v>
      </c>
      <c r="C87" s="80" t="s">
        <v>459</v>
      </c>
      <c r="D87" s="74">
        <v>285.0</v>
      </c>
      <c r="E87" s="77" t="s">
        <v>70</v>
      </c>
      <c r="F87" s="79"/>
      <c r="G87" s="79"/>
      <c r="H87" s="79"/>
      <c r="I87" s="77" t="s">
        <v>70</v>
      </c>
      <c r="J87" s="74">
        <f t="shared" si="21"/>
        <v>0</v>
      </c>
      <c r="K87" s="78">
        <f t="shared" si="24"/>
        <v>0</v>
      </c>
      <c r="L87" s="79">
        <f t="shared" si="19"/>
        <v>0</v>
      </c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</row>
    <row r="88">
      <c r="A88" s="74">
        <v>87.0</v>
      </c>
      <c r="B88" s="75" t="s">
        <v>460</v>
      </c>
      <c r="C88" s="92"/>
      <c r="D88" s="74">
        <v>66.0</v>
      </c>
      <c r="E88" s="77" t="s">
        <v>70</v>
      </c>
      <c r="F88" s="79"/>
      <c r="G88" s="79"/>
      <c r="H88" s="79"/>
      <c r="I88" s="77" t="s">
        <v>70</v>
      </c>
      <c r="J88" s="74">
        <f t="shared" si="21"/>
        <v>0</v>
      </c>
      <c r="K88" s="78">
        <f t="shared" si="24"/>
        <v>0</v>
      </c>
      <c r="L88" s="79">
        <f t="shared" si="19"/>
        <v>0</v>
      </c>
      <c r="M88" s="72">
        <v>30.0</v>
      </c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</row>
    <row r="89">
      <c r="A89" s="74">
        <v>88.0</v>
      </c>
      <c r="B89" s="38" t="s">
        <v>461</v>
      </c>
      <c r="C89" s="75"/>
      <c r="D89" s="74">
        <v>8.93</v>
      </c>
      <c r="E89" s="77" t="s">
        <v>77</v>
      </c>
      <c r="F89" s="79"/>
      <c r="G89" s="79"/>
      <c r="H89" s="79"/>
      <c r="I89" s="77" t="s">
        <v>70</v>
      </c>
      <c r="J89" s="74">
        <f t="shared" si="21"/>
        <v>0</v>
      </c>
      <c r="K89" s="78">
        <f t="shared" si="24"/>
        <v>0</v>
      </c>
      <c r="L89" s="79">
        <f t="shared" si="19"/>
        <v>0</v>
      </c>
      <c r="M89" s="72">
        <v>30.0</v>
      </c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</row>
    <row r="90">
      <c r="A90" s="74">
        <v>89.0</v>
      </c>
      <c r="B90" s="38" t="s">
        <v>462</v>
      </c>
      <c r="C90" s="75"/>
      <c r="D90" s="74">
        <v>33.0</v>
      </c>
      <c r="E90" s="77" t="s">
        <v>70</v>
      </c>
      <c r="F90" s="79"/>
      <c r="G90" s="79"/>
      <c r="H90" s="79"/>
      <c r="I90" s="77" t="s">
        <v>70</v>
      </c>
      <c r="J90" s="74">
        <f t="shared" si="21"/>
        <v>0</v>
      </c>
      <c r="K90" s="78">
        <f t="shared" si="24"/>
        <v>0</v>
      </c>
      <c r="L90" s="79">
        <f t="shared" si="19"/>
        <v>0</v>
      </c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</row>
    <row r="91">
      <c r="A91" s="74">
        <v>90.0</v>
      </c>
      <c r="B91" s="38" t="s">
        <v>463</v>
      </c>
      <c r="C91" s="75" t="s">
        <v>464</v>
      </c>
      <c r="D91" s="74">
        <v>3480.0</v>
      </c>
      <c r="E91" s="77" t="s">
        <v>268</v>
      </c>
      <c r="F91" s="74">
        <v>1000.0</v>
      </c>
      <c r="G91" s="74">
        <v>1.0</v>
      </c>
      <c r="H91" s="79"/>
      <c r="I91" s="77" t="s">
        <v>268</v>
      </c>
      <c r="J91" s="74">
        <f t="shared" si="21"/>
        <v>1000</v>
      </c>
      <c r="K91" s="78">
        <f t="shared" si="24"/>
        <v>0</v>
      </c>
      <c r="L91" s="79">
        <f t="shared" si="19"/>
        <v>1000</v>
      </c>
      <c r="M91" s="72">
        <v>1000.0</v>
      </c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</row>
    <row r="92">
      <c r="A92" s="74">
        <v>91.0</v>
      </c>
      <c r="B92" s="75" t="s">
        <v>465</v>
      </c>
      <c r="C92" s="92"/>
      <c r="D92" s="74">
        <v>1700.0</v>
      </c>
      <c r="E92" s="77" t="s">
        <v>268</v>
      </c>
      <c r="F92" s="74">
        <v>2000.0</v>
      </c>
      <c r="G92" s="74">
        <v>1.0</v>
      </c>
      <c r="H92" s="79"/>
      <c r="I92" s="77" t="s">
        <v>70</v>
      </c>
      <c r="J92" s="74">
        <f t="shared" si="21"/>
        <v>2000</v>
      </c>
      <c r="K92" s="78">
        <f t="shared" si="24"/>
        <v>0</v>
      </c>
      <c r="L92" s="79">
        <f t="shared" si="19"/>
        <v>2000</v>
      </c>
      <c r="M92" s="72">
        <v>1000.0</v>
      </c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</row>
    <row r="93">
      <c r="A93" s="74">
        <v>92.0</v>
      </c>
      <c r="B93" s="75" t="s">
        <v>466</v>
      </c>
      <c r="C93" s="92"/>
      <c r="D93" s="74">
        <v>0.0</v>
      </c>
      <c r="E93" s="77" t="s">
        <v>239</v>
      </c>
      <c r="F93" s="74">
        <v>10.0</v>
      </c>
      <c r="G93" s="74">
        <v>1.0</v>
      </c>
      <c r="H93" s="79"/>
      <c r="I93" s="77" t="s">
        <v>239</v>
      </c>
      <c r="J93" s="74">
        <f t="shared" si="21"/>
        <v>10</v>
      </c>
      <c r="K93" s="78">
        <v>3.0</v>
      </c>
      <c r="L93" s="79">
        <f t="shared" si="19"/>
        <v>7</v>
      </c>
      <c r="M93" s="72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</row>
    <row r="94">
      <c r="A94" s="74">
        <v>93.0</v>
      </c>
      <c r="B94" s="75" t="s">
        <v>273</v>
      </c>
      <c r="C94" s="92"/>
      <c r="D94" s="74">
        <v>0.0</v>
      </c>
      <c r="E94" s="77" t="s">
        <v>70</v>
      </c>
      <c r="F94" s="74">
        <v>20.0</v>
      </c>
      <c r="G94" s="74">
        <v>1.0</v>
      </c>
      <c r="H94" s="79"/>
      <c r="I94" s="77" t="s">
        <v>70</v>
      </c>
      <c r="J94" s="74">
        <f t="shared" si="21"/>
        <v>20</v>
      </c>
      <c r="K94" s="78">
        <v>10.0</v>
      </c>
      <c r="L94" s="79">
        <f t="shared" si="19"/>
        <v>10</v>
      </c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</row>
    <row r="95">
      <c r="A95" s="74">
        <v>94.0</v>
      </c>
      <c r="B95" s="75" t="s">
        <v>462</v>
      </c>
      <c r="C95" s="92"/>
      <c r="D95" s="74">
        <v>0.0</v>
      </c>
      <c r="E95" s="77" t="s">
        <v>70</v>
      </c>
      <c r="F95" s="74">
        <v>10.0</v>
      </c>
      <c r="G95" s="74">
        <v>1.0</v>
      </c>
      <c r="H95" s="79"/>
      <c r="I95" s="77" t="s">
        <v>70</v>
      </c>
      <c r="J95" s="74">
        <f t="shared" si="21"/>
        <v>10</v>
      </c>
      <c r="K95" s="78">
        <f>0+0</f>
        <v>0</v>
      </c>
      <c r="L95" s="79">
        <f t="shared" si="19"/>
        <v>10</v>
      </c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</row>
    <row r="96">
      <c r="A96" s="74">
        <v>95.0</v>
      </c>
      <c r="B96" s="75" t="s">
        <v>140</v>
      </c>
      <c r="C96" s="92"/>
      <c r="D96" s="79"/>
      <c r="E96" s="77" t="s">
        <v>70</v>
      </c>
      <c r="F96" s="79"/>
      <c r="G96" s="79"/>
      <c r="H96" s="79"/>
      <c r="I96" s="77" t="s">
        <v>70</v>
      </c>
      <c r="J96" s="74">
        <v>10.0</v>
      </c>
      <c r="K96" s="78">
        <v>9.0</v>
      </c>
      <c r="L96" s="79">
        <f t="shared" si="19"/>
        <v>1</v>
      </c>
      <c r="M96" s="72" t="s">
        <v>467</v>
      </c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</row>
    <row r="97">
      <c r="A97" s="74"/>
      <c r="B97" s="93" t="s">
        <v>463</v>
      </c>
      <c r="C97" s="94">
        <v>1000.0</v>
      </c>
      <c r="D97" s="79"/>
      <c r="E97" s="77" t="s">
        <v>303</v>
      </c>
      <c r="F97" s="79"/>
      <c r="G97" s="79"/>
      <c r="H97" s="79"/>
      <c r="I97" s="77" t="s">
        <v>70</v>
      </c>
      <c r="J97" s="79"/>
      <c r="K97" s="95"/>
      <c r="L97" s="79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</row>
    <row r="98">
      <c r="A98" s="79"/>
      <c r="B98" s="93" t="s">
        <v>465</v>
      </c>
      <c r="C98" s="94">
        <v>1000.0</v>
      </c>
      <c r="D98" s="79"/>
      <c r="E98" s="77" t="s">
        <v>84</v>
      </c>
      <c r="F98" s="79"/>
      <c r="G98" s="79"/>
      <c r="H98" s="79"/>
      <c r="I98" s="77" t="s">
        <v>70</v>
      </c>
      <c r="J98" s="79"/>
      <c r="K98" s="95"/>
      <c r="L98" s="79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</row>
    <row r="99">
      <c r="A99" s="79"/>
      <c r="B99" s="93" t="s">
        <v>466</v>
      </c>
      <c r="C99" s="96"/>
      <c r="D99" s="79"/>
      <c r="E99" s="77" t="s">
        <v>370</v>
      </c>
      <c r="F99" s="79"/>
      <c r="G99" s="79"/>
      <c r="H99" s="79"/>
      <c r="I99" s="77" t="s">
        <v>70</v>
      </c>
      <c r="J99" s="79"/>
      <c r="K99" s="95"/>
      <c r="L99" s="79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</row>
    <row r="100">
      <c r="A100" s="79"/>
      <c r="B100" s="97" t="s">
        <v>468</v>
      </c>
      <c r="C100" s="98"/>
      <c r="D100" s="79"/>
      <c r="E100" s="77" t="s">
        <v>239</v>
      </c>
      <c r="F100" s="79"/>
      <c r="G100" s="79"/>
      <c r="H100" s="79"/>
      <c r="I100" s="77" t="s">
        <v>70</v>
      </c>
      <c r="J100" s="79"/>
      <c r="K100" s="95"/>
      <c r="L100" s="79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</row>
    <row r="101">
      <c r="A101" s="79"/>
      <c r="B101" s="99"/>
      <c r="C101" s="96"/>
      <c r="D101" s="79"/>
      <c r="E101" s="77" t="s">
        <v>469</v>
      </c>
      <c r="F101" s="79"/>
      <c r="G101" s="79"/>
      <c r="H101" s="79"/>
      <c r="I101" s="79"/>
      <c r="J101" s="79"/>
      <c r="K101" s="95"/>
      <c r="L101" s="79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</row>
    <row r="102">
      <c r="A102" s="79"/>
      <c r="B102" s="99"/>
      <c r="C102" s="94"/>
      <c r="D102" s="79"/>
      <c r="E102" s="79"/>
      <c r="F102" s="79"/>
      <c r="G102" s="79"/>
      <c r="H102" s="79"/>
      <c r="I102" s="79"/>
      <c r="J102" s="79"/>
      <c r="K102" s="95"/>
      <c r="L102" s="79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</row>
    <row r="103">
      <c r="A103" s="73"/>
      <c r="B103" s="14"/>
      <c r="C103" s="14"/>
      <c r="D103" s="73"/>
      <c r="E103" s="73"/>
      <c r="F103" s="73"/>
      <c r="G103" s="73"/>
      <c r="H103" s="73"/>
      <c r="I103" s="73"/>
      <c r="J103" s="73"/>
      <c r="K103" s="100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</row>
    <row r="104">
      <c r="A104" s="73"/>
      <c r="B104" s="14"/>
      <c r="C104" s="14"/>
      <c r="D104" s="73"/>
      <c r="E104" s="73"/>
      <c r="F104" s="73"/>
      <c r="G104" s="73"/>
      <c r="H104" s="73"/>
      <c r="I104" s="73"/>
      <c r="J104" s="73"/>
      <c r="K104" s="100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</row>
    <row r="105">
      <c r="A105" s="73"/>
      <c r="B105" s="14"/>
      <c r="C105" s="14"/>
      <c r="D105" s="73"/>
      <c r="E105" s="73"/>
      <c r="F105" s="73"/>
      <c r="G105" s="73"/>
      <c r="H105" s="73"/>
      <c r="I105" s="73"/>
      <c r="J105" s="73"/>
      <c r="K105" s="100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</row>
    <row r="106">
      <c r="A106" s="73"/>
      <c r="B106" s="14"/>
      <c r="C106" s="14"/>
      <c r="D106" s="73"/>
      <c r="E106" s="73"/>
      <c r="F106" s="73"/>
      <c r="G106" s="73"/>
      <c r="H106" s="73"/>
      <c r="I106" s="73"/>
      <c r="J106" s="73"/>
      <c r="K106" s="100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</row>
    <row r="107">
      <c r="A107" s="73"/>
      <c r="B107" s="14"/>
      <c r="C107" s="14"/>
      <c r="D107" s="73"/>
      <c r="E107" s="73"/>
      <c r="F107" s="73"/>
      <c r="G107" s="73"/>
      <c r="H107" s="73"/>
      <c r="I107" s="73"/>
      <c r="J107" s="73"/>
      <c r="K107" s="100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</row>
    <row r="108">
      <c r="A108" s="73"/>
      <c r="B108" s="14"/>
      <c r="C108" s="14"/>
      <c r="D108" s="73"/>
      <c r="E108" s="73"/>
      <c r="F108" s="73"/>
      <c r="G108" s="73"/>
      <c r="H108" s="73"/>
      <c r="I108" s="73"/>
      <c r="J108" s="73"/>
      <c r="K108" s="100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</row>
    <row r="109">
      <c r="A109" s="73"/>
      <c r="B109" s="14"/>
      <c r="C109" s="14"/>
      <c r="D109" s="73"/>
      <c r="E109" s="73"/>
      <c r="F109" s="73"/>
      <c r="G109" s="73"/>
      <c r="H109" s="73"/>
      <c r="I109" s="73"/>
      <c r="J109" s="73"/>
      <c r="K109" s="100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</row>
    <row r="110">
      <c r="A110" s="73"/>
      <c r="B110" s="14"/>
      <c r="C110" s="14"/>
      <c r="D110" s="73"/>
      <c r="E110" s="73"/>
      <c r="F110" s="73"/>
      <c r="G110" s="73"/>
      <c r="H110" s="73"/>
      <c r="I110" s="73"/>
      <c r="J110" s="73"/>
      <c r="K110" s="100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</row>
    <row r="111">
      <c r="A111" s="73"/>
      <c r="B111" s="14"/>
      <c r="C111" s="14"/>
      <c r="D111" s="73"/>
      <c r="E111" s="73"/>
      <c r="F111" s="73"/>
      <c r="G111" s="73"/>
      <c r="H111" s="73"/>
      <c r="I111" s="73"/>
      <c r="J111" s="73"/>
      <c r="K111" s="100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</row>
    <row r="112">
      <c r="A112" s="73"/>
      <c r="B112" s="14"/>
      <c r="C112" s="14"/>
      <c r="D112" s="73"/>
      <c r="E112" s="73"/>
      <c r="F112" s="73"/>
      <c r="G112" s="73"/>
      <c r="H112" s="73"/>
      <c r="I112" s="73"/>
      <c r="J112" s="73"/>
      <c r="K112" s="100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</row>
    <row r="113">
      <c r="A113" s="73"/>
      <c r="B113" s="14"/>
      <c r="C113" s="14"/>
      <c r="D113" s="73"/>
      <c r="E113" s="73"/>
      <c r="F113" s="73"/>
      <c r="G113" s="73"/>
      <c r="H113" s="73"/>
      <c r="I113" s="73"/>
      <c r="J113" s="73"/>
      <c r="K113" s="100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</row>
    <row r="114">
      <c r="A114" s="73"/>
      <c r="B114" s="14"/>
      <c r="C114" s="14"/>
      <c r="D114" s="73"/>
      <c r="E114" s="73"/>
      <c r="F114" s="73"/>
      <c r="G114" s="73"/>
      <c r="H114" s="73"/>
      <c r="I114" s="73"/>
      <c r="J114" s="73"/>
      <c r="K114" s="100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</row>
    <row r="115">
      <c r="A115" s="73"/>
      <c r="B115" s="14"/>
      <c r="C115" s="14"/>
      <c r="D115" s="73"/>
      <c r="E115" s="73"/>
      <c r="F115" s="73"/>
      <c r="G115" s="73"/>
      <c r="H115" s="73"/>
      <c r="I115" s="73"/>
      <c r="J115" s="73"/>
      <c r="K115" s="100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</row>
    <row r="116">
      <c r="A116" s="73"/>
      <c r="B116" s="14"/>
      <c r="C116" s="14"/>
      <c r="D116" s="73"/>
      <c r="E116" s="73"/>
      <c r="F116" s="73"/>
      <c r="G116" s="73"/>
      <c r="H116" s="73"/>
      <c r="I116" s="73"/>
      <c r="J116" s="73"/>
      <c r="K116" s="100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</row>
    <row r="117">
      <c r="A117" s="73"/>
      <c r="B117" s="14"/>
      <c r="C117" s="14"/>
      <c r="D117" s="73"/>
      <c r="E117" s="73"/>
      <c r="F117" s="73"/>
      <c r="G117" s="73"/>
      <c r="H117" s="73"/>
      <c r="I117" s="73"/>
      <c r="J117" s="73"/>
      <c r="K117" s="100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</row>
    <row r="118">
      <c r="A118" s="73"/>
      <c r="B118" s="14"/>
      <c r="C118" s="14"/>
      <c r="D118" s="73"/>
      <c r="E118" s="73"/>
      <c r="F118" s="73"/>
      <c r="G118" s="73"/>
      <c r="H118" s="73"/>
      <c r="I118" s="73"/>
      <c r="J118" s="73"/>
      <c r="K118" s="100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</row>
    <row r="119">
      <c r="A119" s="73"/>
      <c r="B119" s="14"/>
      <c r="C119" s="14"/>
      <c r="D119" s="73"/>
      <c r="E119" s="73"/>
      <c r="F119" s="73"/>
      <c r="G119" s="73"/>
      <c r="H119" s="73"/>
      <c r="I119" s="73"/>
      <c r="J119" s="73"/>
      <c r="K119" s="100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</row>
    <row r="120">
      <c r="A120" s="73"/>
      <c r="B120" s="14"/>
      <c r="C120" s="14"/>
      <c r="D120" s="73"/>
      <c r="E120" s="73"/>
      <c r="F120" s="73"/>
      <c r="G120" s="73"/>
      <c r="H120" s="73"/>
      <c r="I120" s="73"/>
      <c r="J120" s="73"/>
      <c r="K120" s="100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</row>
    <row r="121">
      <c r="A121" s="73"/>
      <c r="B121" s="14"/>
      <c r="C121" s="14"/>
      <c r="D121" s="73"/>
      <c r="E121" s="73"/>
      <c r="F121" s="73"/>
      <c r="G121" s="73"/>
      <c r="H121" s="73"/>
      <c r="I121" s="73"/>
      <c r="J121" s="73"/>
      <c r="K121" s="100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</row>
    <row r="122">
      <c r="A122" s="73"/>
      <c r="B122" s="14"/>
      <c r="C122" s="14"/>
      <c r="D122" s="73"/>
      <c r="E122" s="73"/>
      <c r="F122" s="73"/>
      <c r="G122" s="73"/>
      <c r="H122" s="73"/>
      <c r="I122" s="73"/>
      <c r="J122" s="73"/>
      <c r="K122" s="100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</row>
    <row r="123">
      <c r="A123" s="73"/>
      <c r="B123" s="14"/>
      <c r="C123" s="14"/>
      <c r="D123" s="73"/>
      <c r="E123" s="73"/>
      <c r="F123" s="73"/>
      <c r="G123" s="73"/>
      <c r="H123" s="73"/>
      <c r="I123" s="73"/>
      <c r="J123" s="73"/>
      <c r="K123" s="100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</row>
    <row r="124">
      <c r="A124" s="73"/>
      <c r="B124" s="14"/>
      <c r="C124" s="14"/>
      <c r="D124" s="73"/>
      <c r="E124" s="73"/>
      <c r="F124" s="73"/>
      <c r="G124" s="73"/>
      <c r="H124" s="73"/>
      <c r="I124" s="73"/>
      <c r="J124" s="73"/>
      <c r="K124" s="100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</row>
    <row r="125">
      <c r="A125" s="73"/>
      <c r="B125" s="14"/>
      <c r="C125" s="14"/>
      <c r="D125" s="73"/>
      <c r="E125" s="73"/>
      <c r="F125" s="73"/>
      <c r="G125" s="73"/>
      <c r="H125" s="73"/>
      <c r="I125" s="73"/>
      <c r="J125" s="73"/>
      <c r="K125" s="100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</row>
    <row r="126">
      <c r="A126" s="73"/>
      <c r="B126" s="14"/>
      <c r="C126" s="14"/>
      <c r="D126" s="73"/>
      <c r="E126" s="73"/>
      <c r="F126" s="73"/>
      <c r="G126" s="73"/>
      <c r="H126" s="73"/>
      <c r="I126" s="73"/>
      <c r="J126" s="73"/>
      <c r="K126" s="100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</row>
    <row r="127">
      <c r="A127" s="73"/>
      <c r="B127" s="14"/>
      <c r="C127" s="14"/>
      <c r="D127" s="73"/>
      <c r="E127" s="73"/>
      <c r="F127" s="73"/>
      <c r="G127" s="73"/>
      <c r="H127" s="73"/>
      <c r="I127" s="73"/>
      <c r="J127" s="73"/>
      <c r="K127" s="100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</row>
    <row r="128">
      <c r="A128" s="73"/>
      <c r="B128" s="14"/>
      <c r="C128" s="14"/>
      <c r="D128" s="73"/>
      <c r="E128" s="73"/>
      <c r="F128" s="73"/>
      <c r="G128" s="73"/>
      <c r="H128" s="73"/>
      <c r="I128" s="73"/>
      <c r="J128" s="73"/>
      <c r="K128" s="100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</row>
    <row r="129">
      <c r="A129" s="73"/>
      <c r="B129" s="14"/>
      <c r="C129" s="14"/>
      <c r="D129" s="73"/>
      <c r="E129" s="73"/>
      <c r="F129" s="73"/>
      <c r="G129" s="73"/>
      <c r="H129" s="73"/>
      <c r="I129" s="73"/>
      <c r="J129" s="73"/>
      <c r="K129" s="100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</row>
    <row r="130">
      <c r="A130" s="73"/>
      <c r="B130" s="14"/>
      <c r="C130" s="14"/>
      <c r="D130" s="73"/>
      <c r="E130" s="73"/>
      <c r="F130" s="73"/>
      <c r="G130" s="73"/>
      <c r="H130" s="73"/>
      <c r="I130" s="73"/>
      <c r="J130" s="73"/>
      <c r="K130" s="100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</row>
    <row r="131">
      <c r="A131" s="73"/>
      <c r="B131" s="14"/>
      <c r="C131" s="14"/>
      <c r="D131" s="73"/>
      <c r="E131" s="73"/>
      <c r="F131" s="73"/>
      <c r="G131" s="73"/>
      <c r="H131" s="73"/>
      <c r="I131" s="73"/>
      <c r="J131" s="73"/>
      <c r="K131" s="100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</row>
    <row r="132">
      <c r="A132" s="73"/>
      <c r="B132" s="14"/>
      <c r="C132" s="14"/>
      <c r="D132" s="73"/>
      <c r="E132" s="73"/>
      <c r="F132" s="73"/>
      <c r="G132" s="73"/>
      <c r="H132" s="73"/>
      <c r="I132" s="73"/>
      <c r="J132" s="73"/>
      <c r="K132" s="100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</row>
    <row r="133">
      <c r="A133" s="73"/>
      <c r="B133" s="14"/>
      <c r="C133" s="14"/>
      <c r="D133" s="73"/>
      <c r="E133" s="73"/>
      <c r="F133" s="73"/>
      <c r="G133" s="73"/>
      <c r="H133" s="73"/>
      <c r="I133" s="73"/>
      <c r="J133" s="73"/>
      <c r="K133" s="100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</row>
    <row r="134">
      <c r="A134" s="73"/>
      <c r="B134" s="14"/>
      <c r="C134" s="14"/>
      <c r="D134" s="73"/>
      <c r="E134" s="73"/>
      <c r="F134" s="73"/>
      <c r="G134" s="73"/>
      <c r="H134" s="73"/>
      <c r="I134" s="73"/>
      <c r="J134" s="73"/>
      <c r="K134" s="100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</row>
    <row r="135">
      <c r="A135" s="73"/>
      <c r="B135" s="14"/>
      <c r="C135" s="14"/>
      <c r="D135" s="73"/>
      <c r="E135" s="73"/>
      <c r="F135" s="73"/>
      <c r="G135" s="73"/>
      <c r="H135" s="73"/>
      <c r="I135" s="73"/>
      <c r="J135" s="73"/>
      <c r="K135" s="100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</row>
    <row r="136">
      <c r="A136" s="73"/>
      <c r="B136" s="14"/>
      <c r="C136" s="14"/>
      <c r="D136" s="73"/>
      <c r="E136" s="73"/>
      <c r="F136" s="73"/>
      <c r="G136" s="73"/>
      <c r="H136" s="73"/>
      <c r="I136" s="73"/>
      <c r="J136" s="73"/>
      <c r="K136" s="100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</row>
    <row r="137">
      <c r="A137" s="73"/>
      <c r="B137" s="14"/>
      <c r="C137" s="14"/>
      <c r="D137" s="73"/>
      <c r="E137" s="73"/>
      <c r="F137" s="73"/>
      <c r="G137" s="73"/>
      <c r="H137" s="73"/>
      <c r="I137" s="73"/>
      <c r="J137" s="73"/>
      <c r="K137" s="100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</row>
    <row r="138">
      <c r="A138" s="73"/>
      <c r="B138" s="14"/>
      <c r="C138" s="14"/>
      <c r="D138" s="73"/>
      <c r="E138" s="73"/>
      <c r="F138" s="73"/>
      <c r="G138" s="73"/>
      <c r="H138" s="73"/>
      <c r="I138" s="73"/>
      <c r="J138" s="73"/>
      <c r="K138" s="100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</row>
    <row r="139">
      <c r="A139" s="73"/>
      <c r="B139" s="14"/>
      <c r="C139" s="14"/>
      <c r="D139" s="73"/>
      <c r="E139" s="73"/>
      <c r="F139" s="73"/>
      <c r="G139" s="73"/>
      <c r="H139" s="73"/>
      <c r="I139" s="73"/>
      <c r="J139" s="73"/>
      <c r="K139" s="100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</row>
    <row r="140">
      <c r="A140" s="73"/>
      <c r="B140" s="14"/>
      <c r="C140" s="14"/>
      <c r="D140" s="73"/>
      <c r="E140" s="73"/>
      <c r="F140" s="73"/>
      <c r="G140" s="73"/>
      <c r="H140" s="73"/>
      <c r="I140" s="73"/>
      <c r="J140" s="73"/>
      <c r="K140" s="100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</row>
    <row r="141">
      <c r="A141" s="73"/>
      <c r="B141" s="14"/>
      <c r="C141" s="14"/>
      <c r="D141" s="73"/>
      <c r="E141" s="73"/>
      <c r="F141" s="73"/>
      <c r="G141" s="73"/>
      <c r="H141" s="73"/>
      <c r="I141" s="73"/>
      <c r="J141" s="73"/>
      <c r="K141" s="100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</row>
    <row r="142">
      <c r="A142" s="73"/>
      <c r="B142" s="14"/>
      <c r="C142" s="14"/>
      <c r="D142" s="73"/>
      <c r="E142" s="73"/>
      <c r="F142" s="73"/>
      <c r="G142" s="73"/>
      <c r="H142" s="73"/>
      <c r="I142" s="73"/>
      <c r="J142" s="73"/>
      <c r="K142" s="100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</row>
    <row r="143">
      <c r="A143" s="73"/>
      <c r="B143" s="14"/>
      <c r="C143" s="14"/>
      <c r="D143" s="73"/>
      <c r="E143" s="73"/>
      <c r="F143" s="73"/>
      <c r="G143" s="73"/>
      <c r="H143" s="73"/>
      <c r="I143" s="73"/>
      <c r="J143" s="73"/>
      <c r="K143" s="100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</row>
    <row r="144">
      <c r="A144" s="73"/>
      <c r="B144" s="14"/>
      <c r="C144" s="14"/>
      <c r="D144" s="73"/>
      <c r="E144" s="73"/>
      <c r="F144" s="73"/>
      <c r="G144" s="73"/>
      <c r="H144" s="73"/>
      <c r="I144" s="73"/>
      <c r="J144" s="73"/>
      <c r="K144" s="100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</row>
    <row r="145">
      <c r="A145" s="73"/>
      <c r="B145" s="14"/>
      <c r="C145" s="14"/>
      <c r="D145" s="73"/>
      <c r="E145" s="73"/>
      <c r="F145" s="73"/>
      <c r="G145" s="73"/>
      <c r="H145" s="73"/>
      <c r="I145" s="73"/>
      <c r="J145" s="73"/>
      <c r="K145" s="100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</row>
    <row r="146">
      <c r="A146" s="73"/>
      <c r="B146" s="14"/>
      <c r="C146" s="14"/>
      <c r="D146" s="73"/>
      <c r="E146" s="73"/>
      <c r="F146" s="73"/>
      <c r="G146" s="73"/>
      <c r="H146" s="73"/>
      <c r="I146" s="73"/>
      <c r="J146" s="73"/>
      <c r="K146" s="100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</row>
    <row r="147">
      <c r="A147" s="73"/>
      <c r="B147" s="14"/>
      <c r="C147" s="14"/>
      <c r="D147" s="73"/>
      <c r="E147" s="73"/>
      <c r="F147" s="73"/>
      <c r="G147" s="73"/>
      <c r="H147" s="73"/>
      <c r="I147" s="73"/>
      <c r="J147" s="73"/>
      <c r="K147" s="100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</row>
    <row r="148">
      <c r="A148" s="73"/>
      <c r="B148" s="14"/>
      <c r="C148" s="14"/>
      <c r="D148" s="73"/>
      <c r="E148" s="73"/>
      <c r="F148" s="73"/>
      <c r="G148" s="73"/>
      <c r="H148" s="73"/>
      <c r="I148" s="73"/>
      <c r="J148" s="73"/>
      <c r="K148" s="100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</row>
    <row r="149">
      <c r="A149" s="73"/>
      <c r="B149" s="14"/>
      <c r="C149" s="14"/>
      <c r="D149" s="73"/>
      <c r="E149" s="73"/>
      <c r="F149" s="73"/>
      <c r="G149" s="73"/>
      <c r="H149" s="73"/>
      <c r="I149" s="73"/>
      <c r="J149" s="73"/>
      <c r="K149" s="100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</row>
    <row r="150">
      <c r="A150" s="73"/>
      <c r="B150" s="14"/>
      <c r="C150" s="14"/>
      <c r="D150" s="73"/>
      <c r="E150" s="73"/>
      <c r="F150" s="73"/>
      <c r="G150" s="73"/>
      <c r="H150" s="73"/>
      <c r="I150" s="73"/>
      <c r="J150" s="73"/>
      <c r="K150" s="100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</row>
    <row r="151">
      <c r="A151" s="73"/>
      <c r="B151" s="14"/>
      <c r="C151" s="14"/>
      <c r="D151" s="73"/>
      <c r="E151" s="73"/>
      <c r="F151" s="73"/>
      <c r="G151" s="73"/>
      <c r="H151" s="73"/>
      <c r="I151" s="73"/>
      <c r="J151" s="73"/>
      <c r="K151" s="100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</row>
    <row r="152">
      <c r="A152" s="73"/>
      <c r="B152" s="14"/>
      <c r="C152" s="14"/>
      <c r="D152" s="73"/>
      <c r="E152" s="73"/>
      <c r="F152" s="73"/>
      <c r="G152" s="73"/>
      <c r="H152" s="73"/>
      <c r="I152" s="73"/>
      <c r="J152" s="73"/>
      <c r="K152" s="100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</row>
    <row r="153">
      <c r="A153" s="73"/>
      <c r="B153" s="14"/>
      <c r="C153" s="14"/>
      <c r="D153" s="73"/>
      <c r="E153" s="73"/>
      <c r="F153" s="73"/>
      <c r="G153" s="73"/>
      <c r="H153" s="73"/>
      <c r="I153" s="73"/>
      <c r="J153" s="73"/>
      <c r="K153" s="100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</row>
    <row r="154">
      <c r="A154" s="73"/>
      <c r="B154" s="14"/>
      <c r="C154" s="14"/>
      <c r="D154" s="73"/>
      <c r="E154" s="73"/>
      <c r="F154" s="73"/>
      <c r="G154" s="73"/>
      <c r="H154" s="73"/>
      <c r="I154" s="73"/>
      <c r="J154" s="73"/>
      <c r="K154" s="100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</row>
    <row r="155">
      <c r="A155" s="73"/>
      <c r="B155" s="14"/>
      <c r="C155" s="14"/>
      <c r="D155" s="73"/>
      <c r="E155" s="73"/>
      <c r="F155" s="73"/>
      <c r="G155" s="73"/>
      <c r="H155" s="73"/>
      <c r="I155" s="73"/>
      <c r="J155" s="73"/>
      <c r="K155" s="100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</row>
    <row r="156">
      <c r="A156" s="73"/>
      <c r="B156" s="14"/>
      <c r="C156" s="14"/>
      <c r="D156" s="73"/>
      <c r="E156" s="73"/>
      <c r="F156" s="73"/>
      <c r="G156" s="73"/>
      <c r="H156" s="73"/>
      <c r="I156" s="73"/>
      <c r="J156" s="73"/>
      <c r="K156" s="100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</row>
    <row r="157">
      <c r="A157" s="73"/>
      <c r="B157" s="14"/>
      <c r="C157" s="14"/>
      <c r="D157" s="73"/>
      <c r="E157" s="73"/>
      <c r="F157" s="73"/>
      <c r="G157" s="73"/>
      <c r="H157" s="73"/>
      <c r="I157" s="73"/>
      <c r="J157" s="73"/>
      <c r="K157" s="100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</row>
    <row r="158">
      <c r="A158" s="73"/>
      <c r="B158" s="14"/>
      <c r="C158" s="14"/>
      <c r="D158" s="73"/>
      <c r="E158" s="73"/>
      <c r="F158" s="73"/>
      <c r="G158" s="73"/>
      <c r="H158" s="73"/>
      <c r="I158" s="73"/>
      <c r="J158" s="73"/>
      <c r="K158" s="100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</row>
    <row r="159">
      <c r="A159" s="73"/>
      <c r="B159" s="14"/>
      <c r="C159" s="14"/>
      <c r="D159" s="73"/>
      <c r="E159" s="73"/>
      <c r="F159" s="73"/>
      <c r="G159" s="73"/>
      <c r="H159" s="73"/>
      <c r="I159" s="73"/>
      <c r="J159" s="73"/>
      <c r="K159" s="100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</row>
    <row r="160">
      <c r="A160" s="73"/>
      <c r="B160" s="14"/>
      <c r="C160" s="14"/>
      <c r="D160" s="73"/>
      <c r="E160" s="73"/>
      <c r="F160" s="73"/>
      <c r="G160" s="73"/>
      <c r="H160" s="73"/>
      <c r="I160" s="73"/>
      <c r="J160" s="73"/>
      <c r="K160" s="100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</row>
    <row r="161">
      <c r="A161" s="73"/>
      <c r="B161" s="14"/>
      <c r="C161" s="14"/>
      <c r="D161" s="73"/>
      <c r="E161" s="73"/>
      <c r="F161" s="73"/>
      <c r="G161" s="73"/>
      <c r="H161" s="73"/>
      <c r="I161" s="73"/>
      <c r="J161" s="73"/>
      <c r="K161" s="100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</row>
    <row r="162">
      <c r="A162" s="73"/>
      <c r="B162" s="14"/>
      <c r="C162" s="14"/>
      <c r="D162" s="73"/>
      <c r="E162" s="73"/>
      <c r="F162" s="73"/>
      <c r="G162" s="73"/>
      <c r="H162" s="73"/>
      <c r="I162" s="73"/>
      <c r="J162" s="73"/>
      <c r="K162" s="100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</row>
    <row r="163">
      <c r="A163" s="73"/>
      <c r="B163" s="14"/>
      <c r="C163" s="14"/>
      <c r="D163" s="73"/>
      <c r="E163" s="73"/>
      <c r="F163" s="73"/>
      <c r="G163" s="73"/>
      <c r="H163" s="73"/>
      <c r="I163" s="73"/>
      <c r="J163" s="73"/>
      <c r="K163" s="100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</row>
    <row r="164">
      <c r="A164" s="73"/>
      <c r="B164" s="14"/>
      <c r="C164" s="14"/>
      <c r="D164" s="73"/>
      <c r="E164" s="73"/>
      <c r="F164" s="73"/>
      <c r="G164" s="73"/>
      <c r="H164" s="73"/>
      <c r="I164" s="73"/>
      <c r="J164" s="73"/>
      <c r="K164" s="100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</row>
    <row r="165">
      <c r="A165" s="73"/>
      <c r="B165" s="14"/>
      <c r="C165" s="14"/>
      <c r="D165" s="73"/>
      <c r="E165" s="73"/>
      <c r="F165" s="73"/>
      <c r="G165" s="73"/>
      <c r="H165" s="73"/>
      <c r="I165" s="73"/>
      <c r="J165" s="73"/>
      <c r="K165" s="100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</row>
    <row r="166">
      <c r="A166" s="73"/>
      <c r="B166" s="14"/>
      <c r="C166" s="14"/>
      <c r="D166" s="73"/>
      <c r="E166" s="73"/>
      <c r="F166" s="73"/>
      <c r="G166" s="73"/>
      <c r="H166" s="73"/>
      <c r="I166" s="73"/>
      <c r="J166" s="73"/>
      <c r="K166" s="100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</row>
    <row r="167">
      <c r="A167" s="73"/>
      <c r="B167" s="14"/>
      <c r="C167" s="14"/>
      <c r="D167" s="73"/>
      <c r="E167" s="73"/>
      <c r="F167" s="73"/>
      <c r="G167" s="73"/>
      <c r="H167" s="73"/>
      <c r="I167" s="73"/>
      <c r="J167" s="73"/>
      <c r="K167" s="100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</row>
    <row r="168">
      <c r="A168" s="73"/>
      <c r="B168" s="14"/>
      <c r="C168" s="14"/>
      <c r="D168" s="73"/>
      <c r="E168" s="73"/>
      <c r="F168" s="73"/>
      <c r="G168" s="73"/>
      <c r="H168" s="73"/>
      <c r="I168" s="73"/>
      <c r="J168" s="73"/>
      <c r="K168" s="100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</row>
    <row r="169">
      <c r="A169" s="73"/>
      <c r="B169" s="14"/>
      <c r="C169" s="14"/>
      <c r="D169" s="73"/>
      <c r="E169" s="73"/>
      <c r="F169" s="73"/>
      <c r="G169" s="73"/>
      <c r="H169" s="73"/>
      <c r="I169" s="73"/>
      <c r="J169" s="73"/>
      <c r="K169" s="100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</row>
    <row r="170">
      <c r="A170" s="73"/>
      <c r="B170" s="14"/>
      <c r="C170" s="14"/>
      <c r="D170" s="73"/>
      <c r="E170" s="73"/>
      <c r="F170" s="73"/>
      <c r="G170" s="73"/>
      <c r="H170" s="73"/>
      <c r="I170" s="73"/>
      <c r="J170" s="73"/>
      <c r="K170" s="100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</row>
    <row r="171">
      <c r="A171" s="73"/>
      <c r="B171" s="14"/>
      <c r="C171" s="14"/>
      <c r="D171" s="73"/>
      <c r="E171" s="73"/>
      <c r="F171" s="73"/>
      <c r="G171" s="73"/>
      <c r="H171" s="73"/>
      <c r="I171" s="73"/>
      <c r="J171" s="73"/>
      <c r="K171" s="100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</row>
    <row r="172">
      <c r="A172" s="73"/>
      <c r="B172" s="14"/>
      <c r="C172" s="14"/>
      <c r="D172" s="73"/>
      <c r="E172" s="73"/>
      <c r="F172" s="73"/>
      <c r="G172" s="73"/>
      <c r="H172" s="73"/>
      <c r="I172" s="73"/>
      <c r="J172" s="73"/>
      <c r="K172" s="100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</row>
    <row r="173">
      <c r="A173" s="73"/>
      <c r="B173" s="14"/>
      <c r="C173" s="14"/>
      <c r="D173" s="73"/>
      <c r="E173" s="73"/>
      <c r="F173" s="73"/>
      <c r="G173" s="73"/>
      <c r="H173" s="73"/>
      <c r="I173" s="73"/>
      <c r="J173" s="73"/>
      <c r="K173" s="100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</row>
    <row r="174">
      <c r="A174" s="73"/>
      <c r="B174" s="14"/>
      <c r="C174" s="14"/>
      <c r="D174" s="73"/>
      <c r="E174" s="73"/>
      <c r="F174" s="73"/>
      <c r="G174" s="73"/>
      <c r="H174" s="73"/>
      <c r="I174" s="73"/>
      <c r="J174" s="73"/>
      <c r="K174" s="100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</row>
    <row r="175">
      <c r="A175" s="73"/>
      <c r="B175" s="14"/>
      <c r="C175" s="14"/>
      <c r="D175" s="73"/>
      <c r="E175" s="73"/>
      <c r="F175" s="73"/>
      <c r="G175" s="73"/>
      <c r="H175" s="73"/>
      <c r="I175" s="73"/>
      <c r="J175" s="73"/>
      <c r="K175" s="100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</row>
    <row r="176">
      <c r="A176" s="73"/>
      <c r="B176" s="14"/>
      <c r="C176" s="14"/>
      <c r="D176" s="73"/>
      <c r="E176" s="73"/>
      <c r="F176" s="73"/>
      <c r="G176" s="73"/>
      <c r="H176" s="73"/>
      <c r="I176" s="73"/>
      <c r="J176" s="73"/>
      <c r="K176" s="100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</row>
    <row r="177">
      <c r="A177" s="73"/>
      <c r="B177" s="14"/>
      <c r="C177" s="14"/>
      <c r="D177" s="73"/>
      <c r="E177" s="73"/>
      <c r="F177" s="73"/>
      <c r="G177" s="73"/>
      <c r="H177" s="73"/>
      <c r="I177" s="73"/>
      <c r="J177" s="73"/>
      <c r="K177" s="100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</row>
    <row r="178">
      <c r="A178" s="73"/>
      <c r="B178" s="14"/>
      <c r="C178" s="14"/>
      <c r="D178" s="73"/>
      <c r="E178" s="73"/>
      <c r="F178" s="73"/>
      <c r="G178" s="73"/>
      <c r="H178" s="73"/>
      <c r="I178" s="73"/>
      <c r="J178" s="73"/>
      <c r="K178" s="100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</row>
    <row r="179">
      <c r="A179" s="73"/>
      <c r="B179" s="14"/>
      <c r="C179" s="14"/>
      <c r="D179" s="73"/>
      <c r="E179" s="73"/>
      <c r="F179" s="73"/>
      <c r="G179" s="73"/>
      <c r="H179" s="73"/>
      <c r="I179" s="73"/>
      <c r="J179" s="73"/>
      <c r="K179" s="100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</row>
    <row r="180">
      <c r="A180" s="73"/>
      <c r="B180" s="14"/>
      <c r="C180" s="14"/>
      <c r="D180" s="73"/>
      <c r="E180" s="73"/>
      <c r="F180" s="73"/>
      <c r="G180" s="73"/>
      <c r="H180" s="73"/>
      <c r="I180" s="73"/>
      <c r="J180" s="73"/>
      <c r="K180" s="100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</row>
    <row r="181">
      <c r="A181" s="73"/>
      <c r="B181" s="14"/>
      <c r="C181" s="14"/>
      <c r="D181" s="73"/>
      <c r="E181" s="73"/>
      <c r="F181" s="73"/>
      <c r="G181" s="73"/>
      <c r="H181" s="73"/>
      <c r="I181" s="73"/>
      <c r="J181" s="73"/>
      <c r="K181" s="100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</row>
    <row r="182">
      <c r="A182" s="73"/>
      <c r="B182" s="14"/>
      <c r="C182" s="14"/>
      <c r="D182" s="73"/>
      <c r="E182" s="73"/>
      <c r="F182" s="73"/>
      <c r="G182" s="73"/>
      <c r="H182" s="73"/>
      <c r="I182" s="73"/>
      <c r="J182" s="73"/>
      <c r="K182" s="100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</row>
    <row r="183">
      <c r="A183" s="73"/>
      <c r="B183" s="14"/>
      <c r="C183" s="14"/>
      <c r="D183" s="73"/>
      <c r="E183" s="73"/>
      <c r="F183" s="73"/>
      <c r="G183" s="73"/>
      <c r="H183" s="73"/>
      <c r="I183" s="73"/>
      <c r="J183" s="73"/>
      <c r="K183" s="100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</row>
    <row r="184">
      <c r="A184" s="73"/>
      <c r="B184" s="14"/>
      <c r="C184" s="14"/>
      <c r="D184" s="73"/>
      <c r="E184" s="73"/>
      <c r="F184" s="73"/>
      <c r="G184" s="73"/>
      <c r="H184" s="73"/>
      <c r="I184" s="73"/>
      <c r="J184" s="73"/>
      <c r="K184" s="100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</row>
    <row r="185">
      <c r="A185" s="73"/>
      <c r="B185" s="14"/>
      <c r="C185" s="14"/>
      <c r="D185" s="73"/>
      <c r="E185" s="73"/>
      <c r="F185" s="73"/>
      <c r="G185" s="73"/>
      <c r="H185" s="73"/>
      <c r="I185" s="73"/>
      <c r="J185" s="73"/>
      <c r="K185" s="100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</row>
    <row r="186">
      <c r="A186" s="73"/>
      <c r="B186" s="14"/>
      <c r="C186" s="14"/>
      <c r="D186" s="73"/>
      <c r="E186" s="73"/>
      <c r="F186" s="73"/>
      <c r="G186" s="73"/>
      <c r="H186" s="73"/>
      <c r="I186" s="73"/>
      <c r="J186" s="73"/>
      <c r="K186" s="100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</row>
    <row r="187">
      <c r="A187" s="73"/>
      <c r="B187" s="14"/>
      <c r="C187" s="14"/>
      <c r="D187" s="73"/>
      <c r="E187" s="73"/>
      <c r="F187" s="73"/>
      <c r="G187" s="73"/>
      <c r="H187" s="73"/>
      <c r="I187" s="73"/>
      <c r="J187" s="73"/>
      <c r="K187" s="100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</row>
    <row r="188">
      <c r="A188" s="73"/>
      <c r="B188" s="14"/>
      <c r="C188" s="14"/>
      <c r="D188" s="73"/>
      <c r="E188" s="73"/>
      <c r="F188" s="73"/>
      <c r="G188" s="73"/>
      <c r="H188" s="73"/>
      <c r="I188" s="73"/>
      <c r="J188" s="73"/>
      <c r="K188" s="100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</row>
    <row r="189">
      <c r="A189" s="73"/>
      <c r="B189" s="14"/>
      <c r="C189" s="14"/>
      <c r="D189" s="73"/>
      <c r="E189" s="73"/>
      <c r="F189" s="73"/>
      <c r="G189" s="73"/>
      <c r="H189" s="73"/>
      <c r="I189" s="73"/>
      <c r="J189" s="73"/>
      <c r="K189" s="100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</row>
    <row r="190">
      <c r="A190" s="73"/>
      <c r="B190" s="14"/>
      <c r="C190" s="14"/>
      <c r="D190" s="73"/>
      <c r="E190" s="73"/>
      <c r="F190" s="73"/>
      <c r="G190" s="73"/>
      <c r="H190" s="73"/>
      <c r="I190" s="73"/>
      <c r="J190" s="73"/>
      <c r="K190" s="100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</row>
    <row r="191">
      <c r="A191" s="73"/>
      <c r="B191" s="14"/>
      <c r="C191" s="14"/>
      <c r="D191" s="73"/>
      <c r="E191" s="73"/>
      <c r="F191" s="73"/>
      <c r="G191" s="73"/>
      <c r="H191" s="73"/>
      <c r="I191" s="73"/>
      <c r="J191" s="73"/>
      <c r="K191" s="100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</row>
    <row r="192">
      <c r="A192" s="73"/>
      <c r="B192" s="14"/>
      <c r="C192" s="14"/>
      <c r="D192" s="73"/>
      <c r="E192" s="73"/>
      <c r="F192" s="73"/>
      <c r="G192" s="73"/>
      <c r="H192" s="73"/>
      <c r="I192" s="73"/>
      <c r="J192" s="73"/>
      <c r="K192" s="100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</row>
    <row r="193">
      <c r="A193" s="73"/>
      <c r="B193" s="14"/>
      <c r="C193" s="14"/>
      <c r="D193" s="73"/>
      <c r="E193" s="73"/>
      <c r="F193" s="73"/>
      <c r="G193" s="73"/>
      <c r="H193" s="73"/>
      <c r="I193" s="73"/>
      <c r="J193" s="73"/>
      <c r="K193" s="100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</row>
    <row r="194">
      <c r="A194" s="73"/>
      <c r="B194" s="14"/>
      <c r="C194" s="14"/>
      <c r="D194" s="73"/>
      <c r="E194" s="73"/>
      <c r="F194" s="73"/>
      <c r="G194" s="73"/>
      <c r="H194" s="73"/>
      <c r="I194" s="73"/>
      <c r="J194" s="73"/>
      <c r="K194" s="100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</row>
    <row r="195">
      <c r="A195" s="73"/>
      <c r="B195" s="14"/>
      <c r="C195" s="14"/>
      <c r="D195" s="73"/>
      <c r="E195" s="73"/>
      <c r="F195" s="73"/>
      <c r="G195" s="73"/>
      <c r="H195" s="73"/>
      <c r="I195" s="73"/>
      <c r="J195" s="73"/>
      <c r="K195" s="100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</row>
    <row r="196">
      <c r="A196" s="73"/>
      <c r="B196" s="14"/>
      <c r="C196" s="14"/>
      <c r="D196" s="73"/>
      <c r="E196" s="73"/>
      <c r="F196" s="73"/>
      <c r="G196" s="73"/>
      <c r="H196" s="73"/>
      <c r="I196" s="73"/>
      <c r="J196" s="73"/>
      <c r="K196" s="100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</row>
    <row r="197">
      <c r="A197" s="73"/>
      <c r="B197" s="14"/>
      <c r="C197" s="14"/>
      <c r="D197" s="73"/>
      <c r="E197" s="73"/>
      <c r="F197" s="73"/>
      <c r="G197" s="73"/>
      <c r="H197" s="73"/>
      <c r="I197" s="73"/>
      <c r="J197" s="73"/>
      <c r="K197" s="100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</row>
    <row r="198">
      <c r="A198" s="73"/>
      <c r="B198" s="14"/>
      <c r="C198" s="14"/>
      <c r="D198" s="73"/>
      <c r="E198" s="73"/>
      <c r="F198" s="73"/>
      <c r="G198" s="73"/>
      <c r="H198" s="73"/>
      <c r="I198" s="73"/>
      <c r="J198" s="73"/>
      <c r="K198" s="100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</row>
    <row r="199">
      <c r="A199" s="73"/>
      <c r="B199" s="14"/>
      <c r="C199" s="14"/>
      <c r="D199" s="73"/>
      <c r="E199" s="73"/>
      <c r="F199" s="73"/>
      <c r="G199" s="73"/>
      <c r="H199" s="73"/>
      <c r="I199" s="73"/>
      <c r="J199" s="73"/>
      <c r="K199" s="100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</row>
    <row r="200">
      <c r="A200" s="73"/>
      <c r="B200" s="14"/>
      <c r="C200" s="14"/>
      <c r="D200" s="73"/>
      <c r="E200" s="73"/>
      <c r="F200" s="73"/>
      <c r="G200" s="73"/>
      <c r="H200" s="73"/>
      <c r="I200" s="73"/>
      <c r="J200" s="73"/>
      <c r="K200" s="100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</row>
    <row r="201">
      <c r="A201" s="73"/>
      <c r="B201" s="14"/>
      <c r="C201" s="14"/>
      <c r="D201" s="73"/>
      <c r="E201" s="73"/>
      <c r="F201" s="73"/>
      <c r="G201" s="73"/>
      <c r="H201" s="73"/>
      <c r="I201" s="73"/>
      <c r="J201" s="73"/>
      <c r="K201" s="100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</row>
    <row r="202">
      <c r="A202" s="73"/>
      <c r="B202" s="14"/>
      <c r="C202" s="14"/>
      <c r="D202" s="73"/>
      <c r="E202" s="73"/>
      <c r="F202" s="73"/>
      <c r="G202" s="73"/>
      <c r="H202" s="73"/>
      <c r="I202" s="73"/>
      <c r="J202" s="73"/>
      <c r="K202" s="100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</row>
    <row r="203">
      <c r="A203" s="73"/>
      <c r="B203" s="14"/>
      <c r="C203" s="14"/>
      <c r="D203" s="73"/>
      <c r="E203" s="73"/>
      <c r="F203" s="73"/>
      <c r="G203" s="73"/>
      <c r="H203" s="73"/>
      <c r="I203" s="73"/>
      <c r="J203" s="73"/>
      <c r="K203" s="100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</row>
    <row r="204">
      <c r="A204" s="73"/>
      <c r="B204" s="14"/>
      <c r="C204" s="14"/>
      <c r="D204" s="73"/>
      <c r="E204" s="73"/>
      <c r="F204" s="73"/>
      <c r="G204" s="73"/>
      <c r="H204" s="73"/>
      <c r="I204" s="73"/>
      <c r="J204" s="73"/>
      <c r="K204" s="100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</row>
    <row r="205">
      <c r="A205" s="73"/>
      <c r="B205" s="14"/>
      <c r="C205" s="14"/>
      <c r="D205" s="73"/>
      <c r="E205" s="73"/>
      <c r="F205" s="73"/>
      <c r="G205" s="73"/>
      <c r="H205" s="73"/>
      <c r="I205" s="73"/>
      <c r="J205" s="73"/>
      <c r="K205" s="100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</row>
    <row r="206">
      <c r="A206" s="73"/>
      <c r="B206" s="14"/>
      <c r="C206" s="14"/>
      <c r="D206" s="73"/>
      <c r="E206" s="73"/>
      <c r="F206" s="73"/>
      <c r="G206" s="73"/>
      <c r="H206" s="73"/>
      <c r="I206" s="73"/>
      <c r="J206" s="73"/>
      <c r="K206" s="100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</row>
    <row r="207">
      <c r="A207" s="73"/>
      <c r="B207" s="14"/>
      <c r="C207" s="14"/>
      <c r="D207" s="73"/>
      <c r="E207" s="73"/>
      <c r="F207" s="73"/>
      <c r="G207" s="73"/>
      <c r="H207" s="73"/>
      <c r="I207" s="73"/>
      <c r="J207" s="73"/>
      <c r="K207" s="100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</row>
    <row r="208">
      <c r="A208" s="73"/>
      <c r="B208" s="14"/>
      <c r="C208" s="14"/>
      <c r="D208" s="73"/>
      <c r="E208" s="73"/>
      <c r="F208" s="73"/>
      <c r="G208" s="73"/>
      <c r="H208" s="73"/>
      <c r="I208" s="73"/>
      <c r="J208" s="73"/>
      <c r="K208" s="100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</row>
    <row r="209">
      <c r="A209" s="73"/>
      <c r="B209" s="14"/>
      <c r="C209" s="14"/>
      <c r="D209" s="73"/>
      <c r="E209" s="73"/>
      <c r="F209" s="73"/>
      <c r="G209" s="73"/>
      <c r="H209" s="73"/>
      <c r="I209" s="73"/>
      <c r="J209" s="73"/>
      <c r="K209" s="100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</row>
    <row r="210">
      <c r="A210" s="73"/>
      <c r="B210" s="14"/>
      <c r="C210" s="14"/>
      <c r="D210" s="73"/>
      <c r="E210" s="73"/>
      <c r="F210" s="73"/>
      <c r="G210" s="73"/>
      <c r="H210" s="73"/>
      <c r="I210" s="73"/>
      <c r="J210" s="73"/>
      <c r="K210" s="100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</row>
    <row r="211">
      <c r="A211" s="73"/>
      <c r="B211" s="14"/>
      <c r="C211" s="14"/>
      <c r="D211" s="73"/>
      <c r="E211" s="73"/>
      <c r="F211" s="73"/>
      <c r="G211" s="73"/>
      <c r="H211" s="73"/>
      <c r="I211" s="73"/>
      <c r="J211" s="73"/>
      <c r="K211" s="100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</row>
    <row r="212">
      <c r="A212" s="73"/>
      <c r="B212" s="14"/>
      <c r="C212" s="14"/>
      <c r="D212" s="73"/>
      <c r="E212" s="73"/>
      <c r="F212" s="73"/>
      <c r="G212" s="73"/>
      <c r="H212" s="73"/>
      <c r="I212" s="73"/>
      <c r="J212" s="73"/>
      <c r="K212" s="100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</row>
    <row r="213">
      <c r="A213" s="73"/>
      <c r="B213" s="14"/>
      <c r="C213" s="14"/>
      <c r="D213" s="73"/>
      <c r="E213" s="73"/>
      <c r="F213" s="73"/>
      <c r="G213" s="73"/>
      <c r="H213" s="73"/>
      <c r="I213" s="73"/>
      <c r="J213" s="73"/>
      <c r="K213" s="100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</row>
    <row r="214">
      <c r="A214" s="73"/>
      <c r="B214" s="14"/>
      <c r="C214" s="14"/>
      <c r="D214" s="73"/>
      <c r="E214" s="73"/>
      <c r="F214" s="73"/>
      <c r="G214" s="73"/>
      <c r="H214" s="73"/>
      <c r="I214" s="73"/>
      <c r="J214" s="73"/>
      <c r="K214" s="100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</row>
    <row r="215">
      <c r="A215" s="73"/>
      <c r="B215" s="14"/>
      <c r="C215" s="14"/>
      <c r="D215" s="73"/>
      <c r="E215" s="73"/>
      <c r="F215" s="73"/>
      <c r="G215" s="73"/>
      <c r="H215" s="73"/>
      <c r="I215" s="73"/>
      <c r="J215" s="73"/>
      <c r="K215" s="100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</row>
    <row r="216">
      <c r="A216" s="73"/>
      <c r="B216" s="14"/>
      <c r="C216" s="14"/>
      <c r="D216" s="73"/>
      <c r="E216" s="73"/>
      <c r="F216" s="73"/>
      <c r="G216" s="73"/>
      <c r="H216" s="73"/>
      <c r="I216" s="73"/>
      <c r="J216" s="73"/>
      <c r="K216" s="100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</row>
    <row r="217">
      <c r="A217" s="73"/>
      <c r="B217" s="14"/>
      <c r="C217" s="14"/>
      <c r="D217" s="73"/>
      <c r="E217" s="73"/>
      <c r="F217" s="73"/>
      <c r="G217" s="73"/>
      <c r="H217" s="73"/>
      <c r="I217" s="73"/>
      <c r="J217" s="73"/>
      <c r="K217" s="100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</row>
    <row r="218">
      <c r="A218" s="73"/>
      <c r="B218" s="14"/>
      <c r="C218" s="14"/>
      <c r="D218" s="73"/>
      <c r="E218" s="73"/>
      <c r="F218" s="73"/>
      <c r="G218" s="73"/>
      <c r="H218" s="73"/>
      <c r="I218" s="73"/>
      <c r="J218" s="73"/>
      <c r="K218" s="100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</row>
    <row r="219">
      <c r="A219" s="73"/>
      <c r="B219" s="14"/>
      <c r="C219" s="14"/>
      <c r="D219" s="73"/>
      <c r="E219" s="73"/>
      <c r="F219" s="73"/>
      <c r="G219" s="73"/>
      <c r="H219" s="73"/>
      <c r="I219" s="73"/>
      <c r="J219" s="73"/>
      <c r="K219" s="100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</row>
    <row r="220">
      <c r="A220" s="73"/>
      <c r="B220" s="14"/>
      <c r="C220" s="14"/>
      <c r="D220" s="73"/>
      <c r="E220" s="73"/>
      <c r="F220" s="73"/>
      <c r="G220" s="73"/>
      <c r="H220" s="73"/>
      <c r="I220" s="73"/>
      <c r="J220" s="73"/>
      <c r="K220" s="100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</row>
    <row r="221">
      <c r="A221" s="73"/>
      <c r="B221" s="14"/>
      <c r="C221" s="14"/>
      <c r="D221" s="73"/>
      <c r="E221" s="73"/>
      <c r="F221" s="73"/>
      <c r="G221" s="73"/>
      <c r="H221" s="73"/>
      <c r="I221" s="73"/>
      <c r="J221" s="73"/>
      <c r="K221" s="100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</row>
    <row r="222">
      <c r="A222" s="73"/>
      <c r="B222" s="14"/>
      <c r="C222" s="14"/>
      <c r="D222" s="73"/>
      <c r="E222" s="73"/>
      <c r="F222" s="73"/>
      <c r="G222" s="73"/>
      <c r="H222" s="73"/>
      <c r="I222" s="73"/>
      <c r="J222" s="73"/>
      <c r="K222" s="100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</row>
    <row r="223">
      <c r="A223" s="73"/>
      <c r="B223" s="14"/>
      <c r="C223" s="14"/>
      <c r="D223" s="73"/>
      <c r="E223" s="73"/>
      <c r="F223" s="73"/>
      <c r="G223" s="73"/>
      <c r="H223" s="73"/>
      <c r="I223" s="73"/>
      <c r="J223" s="73"/>
      <c r="K223" s="100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</row>
    <row r="224">
      <c r="A224" s="73"/>
      <c r="B224" s="14"/>
      <c r="C224" s="14"/>
      <c r="D224" s="73"/>
      <c r="E224" s="73"/>
      <c r="F224" s="73"/>
      <c r="G224" s="73"/>
      <c r="H224" s="73"/>
      <c r="I224" s="73"/>
      <c r="J224" s="73"/>
      <c r="K224" s="100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</row>
    <row r="225">
      <c r="A225" s="73"/>
      <c r="B225" s="14"/>
      <c r="C225" s="14"/>
      <c r="D225" s="73"/>
      <c r="E225" s="73"/>
      <c r="F225" s="73"/>
      <c r="G225" s="73"/>
      <c r="H225" s="73"/>
      <c r="I225" s="73"/>
      <c r="J225" s="73"/>
      <c r="K225" s="100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</row>
    <row r="226">
      <c r="A226" s="73"/>
      <c r="B226" s="14"/>
      <c r="C226" s="14"/>
      <c r="D226" s="73"/>
      <c r="E226" s="73"/>
      <c r="F226" s="73"/>
      <c r="G226" s="73"/>
      <c r="H226" s="73"/>
      <c r="I226" s="73"/>
      <c r="J226" s="73"/>
      <c r="K226" s="100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</row>
    <row r="227">
      <c r="A227" s="73"/>
      <c r="B227" s="14"/>
      <c r="C227" s="14"/>
      <c r="D227" s="73"/>
      <c r="E227" s="73"/>
      <c r="F227" s="73"/>
      <c r="G227" s="73"/>
      <c r="H227" s="73"/>
      <c r="I227" s="73"/>
      <c r="J227" s="73"/>
      <c r="K227" s="100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</row>
    <row r="228">
      <c r="A228" s="73"/>
      <c r="B228" s="14"/>
      <c r="C228" s="14"/>
      <c r="D228" s="73"/>
      <c r="E228" s="73"/>
      <c r="F228" s="73"/>
      <c r="G228" s="73"/>
      <c r="H228" s="73"/>
      <c r="I228" s="73"/>
      <c r="J228" s="73"/>
      <c r="K228" s="100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</row>
    <row r="229">
      <c r="A229" s="73"/>
      <c r="B229" s="14"/>
      <c r="C229" s="14"/>
      <c r="D229" s="73"/>
      <c r="E229" s="73"/>
      <c r="F229" s="73"/>
      <c r="G229" s="73"/>
      <c r="H229" s="73"/>
      <c r="I229" s="73"/>
      <c r="J229" s="73"/>
      <c r="K229" s="100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</row>
    <row r="230">
      <c r="A230" s="73"/>
      <c r="B230" s="14"/>
      <c r="C230" s="14"/>
      <c r="D230" s="73"/>
      <c r="E230" s="73"/>
      <c r="F230" s="73"/>
      <c r="G230" s="73"/>
      <c r="H230" s="73"/>
      <c r="I230" s="73"/>
      <c r="J230" s="73"/>
      <c r="K230" s="100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</row>
    <row r="231">
      <c r="A231" s="73"/>
      <c r="B231" s="14"/>
      <c r="C231" s="14"/>
      <c r="D231" s="73"/>
      <c r="E231" s="73"/>
      <c r="F231" s="73"/>
      <c r="G231" s="73"/>
      <c r="H231" s="73"/>
      <c r="I231" s="73"/>
      <c r="J231" s="73"/>
      <c r="K231" s="100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</row>
    <row r="232">
      <c r="A232" s="73"/>
      <c r="B232" s="14"/>
      <c r="C232" s="14"/>
      <c r="D232" s="73"/>
      <c r="E232" s="73"/>
      <c r="F232" s="73"/>
      <c r="G232" s="73"/>
      <c r="H232" s="73"/>
      <c r="I232" s="73"/>
      <c r="J232" s="73"/>
      <c r="K232" s="100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</row>
    <row r="233">
      <c r="A233" s="73"/>
      <c r="B233" s="14"/>
      <c r="C233" s="14"/>
      <c r="D233" s="73"/>
      <c r="E233" s="73"/>
      <c r="F233" s="73"/>
      <c r="G233" s="73"/>
      <c r="H233" s="73"/>
      <c r="I233" s="73"/>
      <c r="J233" s="73"/>
      <c r="K233" s="100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</row>
    <row r="234">
      <c r="A234" s="73"/>
      <c r="B234" s="14"/>
      <c r="C234" s="14"/>
      <c r="D234" s="73"/>
      <c r="E234" s="73"/>
      <c r="F234" s="73"/>
      <c r="G234" s="73"/>
      <c r="H234" s="73"/>
      <c r="I234" s="73"/>
      <c r="J234" s="73"/>
      <c r="K234" s="100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  <c r="AE234" s="73"/>
    </row>
    <row r="235">
      <c r="A235" s="73"/>
      <c r="B235" s="14"/>
      <c r="C235" s="14"/>
      <c r="D235" s="73"/>
      <c r="E235" s="73"/>
      <c r="F235" s="73"/>
      <c r="G235" s="73"/>
      <c r="H235" s="73"/>
      <c r="I235" s="73"/>
      <c r="J235" s="73"/>
      <c r="K235" s="100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</row>
    <row r="236">
      <c r="A236" s="73"/>
      <c r="B236" s="14"/>
      <c r="C236" s="14"/>
      <c r="D236" s="73"/>
      <c r="E236" s="73"/>
      <c r="F236" s="73"/>
      <c r="G236" s="73"/>
      <c r="H236" s="73"/>
      <c r="I236" s="73"/>
      <c r="J236" s="73"/>
      <c r="K236" s="100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</row>
    <row r="237">
      <c r="A237" s="73"/>
      <c r="B237" s="14"/>
      <c r="C237" s="14"/>
      <c r="D237" s="73"/>
      <c r="E237" s="73"/>
      <c r="F237" s="73"/>
      <c r="G237" s="73"/>
      <c r="H237" s="73"/>
      <c r="I237" s="73"/>
      <c r="J237" s="73"/>
      <c r="K237" s="100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</row>
    <row r="238">
      <c r="A238" s="73"/>
      <c r="B238" s="14"/>
      <c r="C238" s="14"/>
      <c r="D238" s="73"/>
      <c r="E238" s="73"/>
      <c r="F238" s="73"/>
      <c r="G238" s="73"/>
      <c r="H238" s="73"/>
      <c r="I238" s="73"/>
      <c r="J238" s="73"/>
      <c r="K238" s="100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</row>
    <row r="239">
      <c r="A239" s="73"/>
      <c r="B239" s="14"/>
      <c r="C239" s="14"/>
      <c r="D239" s="73"/>
      <c r="E239" s="73"/>
      <c r="F239" s="73"/>
      <c r="G239" s="73"/>
      <c r="H239" s="73"/>
      <c r="I239" s="73"/>
      <c r="J239" s="73"/>
      <c r="K239" s="100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</row>
    <row r="240">
      <c r="A240" s="73"/>
      <c r="B240" s="14"/>
      <c r="C240" s="14"/>
      <c r="D240" s="73"/>
      <c r="E240" s="73"/>
      <c r="F240" s="73"/>
      <c r="G240" s="73"/>
      <c r="H240" s="73"/>
      <c r="I240" s="73"/>
      <c r="J240" s="73"/>
      <c r="K240" s="100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</row>
    <row r="241">
      <c r="A241" s="73"/>
      <c r="B241" s="14"/>
      <c r="C241" s="14"/>
      <c r="D241" s="73"/>
      <c r="E241" s="73"/>
      <c r="F241" s="73"/>
      <c r="G241" s="73"/>
      <c r="H241" s="73"/>
      <c r="I241" s="73"/>
      <c r="J241" s="73"/>
      <c r="K241" s="100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</row>
    <row r="242">
      <c r="A242" s="73"/>
      <c r="B242" s="14"/>
      <c r="C242" s="14"/>
      <c r="D242" s="73"/>
      <c r="E242" s="73"/>
      <c r="F242" s="73"/>
      <c r="G242" s="73"/>
      <c r="H242" s="73"/>
      <c r="I242" s="73"/>
      <c r="J242" s="73"/>
      <c r="K242" s="100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</row>
    <row r="243">
      <c r="A243" s="73"/>
      <c r="B243" s="14"/>
      <c r="C243" s="14"/>
      <c r="D243" s="73"/>
      <c r="E243" s="73"/>
      <c r="F243" s="73"/>
      <c r="G243" s="73"/>
      <c r="H243" s="73"/>
      <c r="I243" s="73"/>
      <c r="J243" s="73"/>
      <c r="K243" s="100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</row>
    <row r="244">
      <c r="A244" s="73"/>
      <c r="B244" s="14"/>
      <c r="C244" s="14"/>
      <c r="D244" s="73"/>
      <c r="E244" s="73"/>
      <c r="F244" s="73"/>
      <c r="G244" s="73"/>
      <c r="H244" s="73"/>
      <c r="I244" s="73"/>
      <c r="J244" s="73"/>
      <c r="K244" s="100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</row>
    <row r="245">
      <c r="A245" s="73"/>
      <c r="B245" s="14"/>
      <c r="C245" s="14"/>
      <c r="D245" s="73"/>
      <c r="E245" s="73"/>
      <c r="F245" s="73"/>
      <c r="G245" s="73"/>
      <c r="H245" s="73"/>
      <c r="I245" s="73"/>
      <c r="J245" s="73"/>
      <c r="K245" s="100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</row>
    <row r="246">
      <c r="A246" s="73"/>
      <c r="B246" s="14"/>
      <c r="C246" s="14"/>
      <c r="D246" s="73"/>
      <c r="E246" s="73"/>
      <c r="F246" s="73"/>
      <c r="G246" s="73"/>
      <c r="H246" s="73"/>
      <c r="I246" s="73"/>
      <c r="J246" s="73"/>
      <c r="K246" s="100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</row>
    <row r="247">
      <c r="A247" s="73"/>
      <c r="B247" s="14"/>
      <c r="C247" s="14"/>
      <c r="D247" s="73"/>
      <c r="E247" s="73"/>
      <c r="F247" s="73"/>
      <c r="G247" s="73"/>
      <c r="H247" s="73"/>
      <c r="I247" s="73"/>
      <c r="J247" s="73"/>
      <c r="K247" s="100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</row>
    <row r="248">
      <c r="A248" s="73"/>
      <c r="B248" s="14"/>
      <c r="C248" s="14"/>
      <c r="D248" s="73"/>
      <c r="E248" s="73"/>
      <c r="F248" s="73"/>
      <c r="G248" s="73"/>
      <c r="H248" s="73"/>
      <c r="I248" s="73"/>
      <c r="J248" s="73"/>
      <c r="K248" s="100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</row>
    <row r="249">
      <c r="A249" s="73"/>
      <c r="B249" s="14"/>
      <c r="C249" s="14"/>
      <c r="D249" s="73"/>
      <c r="E249" s="73"/>
      <c r="F249" s="73"/>
      <c r="G249" s="73"/>
      <c r="H249" s="73"/>
      <c r="I249" s="73"/>
      <c r="J249" s="73"/>
      <c r="K249" s="100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</row>
    <row r="250">
      <c r="A250" s="73"/>
      <c r="B250" s="14"/>
      <c r="C250" s="14"/>
      <c r="D250" s="73"/>
      <c r="E250" s="73"/>
      <c r="F250" s="73"/>
      <c r="G250" s="73"/>
      <c r="H250" s="73"/>
      <c r="I250" s="73"/>
      <c r="J250" s="73"/>
      <c r="K250" s="100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</row>
    <row r="251">
      <c r="A251" s="73"/>
      <c r="B251" s="14"/>
      <c r="C251" s="14"/>
      <c r="D251" s="73"/>
      <c r="E251" s="73"/>
      <c r="F251" s="73"/>
      <c r="G251" s="73"/>
      <c r="H251" s="73"/>
      <c r="I251" s="73"/>
      <c r="J251" s="73"/>
      <c r="K251" s="100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</row>
    <row r="252">
      <c r="A252" s="73"/>
      <c r="B252" s="14"/>
      <c r="C252" s="14"/>
      <c r="D252" s="73"/>
      <c r="E252" s="73"/>
      <c r="F252" s="73"/>
      <c r="G252" s="73"/>
      <c r="H252" s="73"/>
      <c r="I252" s="73"/>
      <c r="J252" s="73"/>
      <c r="K252" s="100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</row>
    <row r="253">
      <c r="A253" s="73"/>
      <c r="B253" s="14"/>
      <c r="C253" s="14"/>
      <c r="D253" s="73"/>
      <c r="E253" s="73"/>
      <c r="F253" s="73"/>
      <c r="G253" s="73"/>
      <c r="H253" s="73"/>
      <c r="I253" s="73"/>
      <c r="J253" s="73"/>
      <c r="K253" s="100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</row>
    <row r="254">
      <c r="A254" s="73"/>
      <c r="B254" s="14"/>
      <c r="C254" s="14"/>
      <c r="D254" s="73"/>
      <c r="E254" s="73"/>
      <c r="F254" s="73"/>
      <c r="G254" s="73"/>
      <c r="H254" s="73"/>
      <c r="I254" s="73"/>
      <c r="J254" s="73"/>
      <c r="K254" s="100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</row>
    <row r="255">
      <c r="A255" s="73"/>
      <c r="B255" s="14"/>
      <c r="C255" s="14"/>
      <c r="D255" s="73"/>
      <c r="E255" s="73"/>
      <c r="F255" s="73"/>
      <c r="G255" s="73"/>
      <c r="H255" s="73"/>
      <c r="I255" s="73"/>
      <c r="J255" s="73"/>
      <c r="K255" s="100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</row>
    <row r="256">
      <c r="A256" s="73"/>
      <c r="B256" s="14"/>
      <c r="C256" s="14"/>
      <c r="D256" s="73"/>
      <c r="E256" s="73"/>
      <c r="F256" s="73"/>
      <c r="G256" s="73"/>
      <c r="H256" s="73"/>
      <c r="I256" s="73"/>
      <c r="J256" s="73"/>
      <c r="K256" s="100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  <c r="AE256" s="73"/>
    </row>
    <row r="257">
      <c r="A257" s="73"/>
      <c r="B257" s="14"/>
      <c r="C257" s="14"/>
      <c r="D257" s="73"/>
      <c r="E257" s="73"/>
      <c r="F257" s="73"/>
      <c r="G257" s="73"/>
      <c r="H257" s="73"/>
      <c r="I257" s="73"/>
      <c r="J257" s="73"/>
      <c r="K257" s="100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</row>
    <row r="258">
      <c r="A258" s="73"/>
      <c r="B258" s="14"/>
      <c r="C258" s="14"/>
      <c r="D258" s="73"/>
      <c r="E258" s="73"/>
      <c r="F258" s="73"/>
      <c r="G258" s="73"/>
      <c r="H258" s="73"/>
      <c r="I258" s="73"/>
      <c r="J258" s="73"/>
      <c r="K258" s="100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</row>
    <row r="259">
      <c r="A259" s="73"/>
      <c r="B259" s="14"/>
      <c r="C259" s="14"/>
      <c r="D259" s="73"/>
      <c r="E259" s="73"/>
      <c r="F259" s="73"/>
      <c r="G259" s="73"/>
      <c r="H259" s="73"/>
      <c r="I259" s="73"/>
      <c r="J259" s="73"/>
      <c r="K259" s="100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</row>
    <row r="260">
      <c r="A260" s="73"/>
      <c r="B260" s="14"/>
      <c r="C260" s="14"/>
      <c r="D260" s="73"/>
      <c r="E260" s="73"/>
      <c r="F260" s="73"/>
      <c r="G260" s="73"/>
      <c r="H260" s="73"/>
      <c r="I260" s="73"/>
      <c r="J260" s="73"/>
      <c r="K260" s="100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</row>
    <row r="261">
      <c r="A261" s="73"/>
      <c r="B261" s="14"/>
      <c r="C261" s="14"/>
      <c r="D261" s="73"/>
      <c r="E261" s="73"/>
      <c r="F261" s="73"/>
      <c r="G261" s="73"/>
      <c r="H261" s="73"/>
      <c r="I261" s="73"/>
      <c r="J261" s="73"/>
      <c r="K261" s="100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</row>
    <row r="262">
      <c r="A262" s="73"/>
      <c r="B262" s="14"/>
      <c r="C262" s="14"/>
      <c r="D262" s="73"/>
      <c r="E262" s="73"/>
      <c r="F262" s="73"/>
      <c r="G262" s="73"/>
      <c r="H262" s="73"/>
      <c r="I262" s="73"/>
      <c r="J262" s="73"/>
      <c r="K262" s="100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  <c r="AE262" s="73"/>
    </row>
    <row r="263">
      <c r="A263" s="73"/>
      <c r="B263" s="14"/>
      <c r="C263" s="14"/>
      <c r="D263" s="73"/>
      <c r="E263" s="73"/>
      <c r="F263" s="73"/>
      <c r="G263" s="73"/>
      <c r="H263" s="73"/>
      <c r="I263" s="73"/>
      <c r="J263" s="73"/>
      <c r="K263" s="100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</row>
    <row r="264">
      <c r="A264" s="73"/>
      <c r="B264" s="14"/>
      <c r="C264" s="14"/>
      <c r="D264" s="73"/>
      <c r="E264" s="73"/>
      <c r="F264" s="73"/>
      <c r="G264" s="73"/>
      <c r="H264" s="73"/>
      <c r="I264" s="73"/>
      <c r="J264" s="73"/>
      <c r="K264" s="100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/>
    </row>
    <row r="265">
      <c r="A265" s="73"/>
      <c r="B265" s="14"/>
      <c r="C265" s="14"/>
      <c r="D265" s="73"/>
      <c r="E265" s="73"/>
      <c r="F265" s="73"/>
      <c r="G265" s="73"/>
      <c r="H265" s="73"/>
      <c r="I265" s="73"/>
      <c r="J265" s="73"/>
      <c r="K265" s="100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</row>
    <row r="266">
      <c r="A266" s="73"/>
      <c r="B266" s="14"/>
      <c r="C266" s="14"/>
      <c r="D266" s="73"/>
      <c r="E266" s="73"/>
      <c r="F266" s="73"/>
      <c r="G266" s="73"/>
      <c r="H266" s="73"/>
      <c r="I266" s="73"/>
      <c r="J266" s="73"/>
      <c r="K266" s="100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</row>
    <row r="267">
      <c r="A267" s="73"/>
      <c r="B267" s="14"/>
      <c r="C267" s="14"/>
      <c r="D267" s="73"/>
      <c r="E267" s="73"/>
      <c r="F267" s="73"/>
      <c r="G267" s="73"/>
      <c r="H267" s="73"/>
      <c r="I267" s="73"/>
      <c r="J267" s="73"/>
      <c r="K267" s="100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</row>
    <row r="268">
      <c r="A268" s="73"/>
      <c r="B268" s="14"/>
      <c r="C268" s="14"/>
      <c r="D268" s="73"/>
      <c r="E268" s="73"/>
      <c r="F268" s="73"/>
      <c r="G268" s="73"/>
      <c r="H268" s="73"/>
      <c r="I268" s="73"/>
      <c r="J268" s="73"/>
      <c r="K268" s="100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</row>
    <row r="269">
      <c r="A269" s="73"/>
      <c r="B269" s="14"/>
      <c r="C269" s="14"/>
      <c r="D269" s="73"/>
      <c r="E269" s="73"/>
      <c r="F269" s="73"/>
      <c r="G269" s="73"/>
      <c r="H269" s="73"/>
      <c r="I269" s="73"/>
      <c r="J269" s="73"/>
      <c r="K269" s="100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</row>
    <row r="270">
      <c r="A270" s="73"/>
      <c r="B270" s="14"/>
      <c r="C270" s="14"/>
      <c r="D270" s="73"/>
      <c r="E270" s="73"/>
      <c r="F270" s="73"/>
      <c r="G270" s="73"/>
      <c r="H270" s="73"/>
      <c r="I270" s="73"/>
      <c r="J270" s="73"/>
      <c r="K270" s="100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</row>
    <row r="271">
      <c r="A271" s="73"/>
      <c r="B271" s="14"/>
      <c r="C271" s="14"/>
      <c r="D271" s="73"/>
      <c r="E271" s="73"/>
      <c r="F271" s="73"/>
      <c r="G271" s="73"/>
      <c r="H271" s="73"/>
      <c r="I271" s="73"/>
      <c r="J271" s="73"/>
      <c r="K271" s="100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</row>
    <row r="272">
      <c r="A272" s="73"/>
      <c r="B272" s="14"/>
      <c r="C272" s="14"/>
      <c r="D272" s="73"/>
      <c r="E272" s="73"/>
      <c r="F272" s="73"/>
      <c r="G272" s="73"/>
      <c r="H272" s="73"/>
      <c r="I272" s="73"/>
      <c r="J272" s="73"/>
      <c r="K272" s="100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/>
    </row>
    <row r="273">
      <c r="A273" s="73"/>
      <c r="B273" s="14"/>
      <c r="C273" s="14"/>
      <c r="D273" s="73"/>
      <c r="E273" s="73"/>
      <c r="F273" s="73"/>
      <c r="G273" s="73"/>
      <c r="H273" s="73"/>
      <c r="I273" s="73"/>
      <c r="J273" s="73"/>
      <c r="K273" s="100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</row>
    <row r="274">
      <c r="A274" s="73"/>
      <c r="B274" s="14"/>
      <c r="C274" s="14"/>
      <c r="D274" s="73"/>
      <c r="E274" s="73"/>
      <c r="F274" s="73"/>
      <c r="G274" s="73"/>
      <c r="H274" s="73"/>
      <c r="I274" s="73"/>
      <c r="J274" s="73"/>
      <c r="K274" s="100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  <c r="AE274" s="73"/>
    </row>
    <row r="275">
      <c r="A275" s="73"/>
      <c r="B275" s="14"/>
      <c r="C275" s="14"/>
      <c r="D275" s="73"/>
      <c r="E275" s="73"/>
      <c r="F275" s="73"/>
      <c r="G275" s="73"/>
      <c r="H275" s="73"/>
      <c r="I275" s="73"/>
      <c r="J275" s="73"/>
      <c r="K275" s="100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</row>
    <row r="276">
      <c r="A276" s="73"/>
      <c r="B276" s="14"/>
      <c r="C276" s="14"/>
      <c r="D276" s="73"/>
      <c r="E276" s="73"/>
      <c r="F276" s="73"/>
      <c r="G276" s="73"/>
      <c r="H276" s="73"/>
      <c r="I276" s="73"/>
      <c r="J276" s="73"/>
      <c r="K276" s="100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  <c r="AE276" s="73"/>
    </row>
    <row r="277">
      <c r="A277" s="73"/>
      <c r="B277" s="14"/>
      <c r="C277" s="14"/>
      <c r="D277" s="73"/>
      <c r="E277" s="73"/>
      <c r="F277" s="73"/>
      <c r="G277" s="73"/>
      <c r="H277" s="73"/>
      <c r="I277" s="73"/>
      <c r="J277" s="73"/>
      <c r="K277" s="100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</row>
    <row r="278">
      <c r="A278" s="73"/>
      <c r="B278" s="14"/>
      <c r="C278" s="14"/>
      <c r="D278" s="73"/>
      <c r="E278" s="73"/>
      <c r="F278" s="73"/>
      <c r="G278" s="73"/>
      <c r="H278" s="73"/>
      <c r="I278" s="73"/>
      <c r="J278" s="73"/>
      <c r="K278" s="100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  <c r="AE278" s="73"/>
    </row>
    <row r="279">
      <c r="A279" s="73"/>
      <c r="B279" s="14"/>
      <c r="C279" s="14"/>
      <c r="D279" s="73"/>
      <c r="E279" s="73"/>
      <c r="F279" s="73"/>
      <c r="G279" s="73"/>
      <c r="H279" s="73"/>
      <c r="I279" s="73"/>
      <c r="J279" s="73"/>
      <c r="K279" s="100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</row>
    <row r="280">
      <c r="A280" s="73"/>
      <c r="B280" s="14"/>
      <c r="C280" s="14"/>
      <c r="D280" s="73"/>
      <c r="E280" s="73"/>
      <c r="F280" s="73"/>
      <c r="G280" s="73"/>
      <c r="H280" s="73"/>
      <c r="I280" s="73"/>
      <c r="J280" s="73"/>
      <c r="K280" s="100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  <c r="AE280" s="73"/>
    </row>
    <row r="281">
      <c r="A281" s="73"/>
      <c r="B281" s="14"/>
      <c r="C281" s="14"/>
      <c r="D281" s="73"/>
      <c r="E281" s="73"/>
      <c r="F281" s="73"/>
      <c r="G281" s="73"/>
      <c r="H281" s="73"/>
      <c r="I281" s="73"/>
      <c r="J281" s="73"/>
      <c r="K281" s="100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</row>
    <row r="282">
      <c r="A282" s="73"/>
      <c r="B282" s="14"/>
      <c r="C282" s="14"/>
      <c r="D282" s="73"/>
      <c r="E282" s="73"/>
      <c r="F282" s="73"/>
      <c r="G282" s="73"/>
      <c r="H282" s="73"/>
      <c r="I282" s="73"/>
      <c r="J282" s="73"/>
      <c r="K282" s="100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  <c r="AE282" s="73"/>
    </row>
    <row r="283">
      <c r="A283" s="73"/>
      <c r="B283" s="14"/>
      <c r="C283" s="14"/>
      <c r="D283" s="73"/>
      <c r="E283" s="73"/>
      <c r="F283" s="73"/>
      <c r="G283" s="73"/>
      <c r="H283" s="73"/>
      <c r="I283" s="73"/>
      <c r="J283" s="73"/>
      <c r="K283" s="100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</row>
    <row r="284">
      <c r="A284" s="73"/>
      <c r="B284" s="14"/>
      <c r="C284" s="14"/>
      <c r="D284" s="73"/>
      <c r="E284" s="73"/>
      <c r="F284" s="73"/>
      <c r="G284" s="73"/>
      <c r="H284" s="73"/>
      <c r="I284" s="73"/>
      <c r="J284" s="73"/>
      <c r="K284" s="100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</row>
    <row r="285">
      <c r="A285" s="73"/>
      <c r="B285" s="14"/>
      <c r="C285" s="14"/>
      <c r="D285" s="73"/>
      <c r="E285" s="73"/>
      <c r="F285" s="73"/>
      <c r="G285" s="73"/>
      <c r="H285" s="73"/>
      <c r="I285" s="73"/>
      <c r="J285" s="73"/>
      <c r="K285" s="100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</row>
    <row r="286">
      <c r="A286" s="73"/>
      <c r="B286" s="14"/>
      <c r="C286" s="14"/>
      <c r="D286" s="73"/>
      <c r="E286" s="73"/>
      <c r="F286" s="73"/>
      <c r="G286" s="73"/>
      <c r="H286" s="73"/>
      <c r="I286" s="73"/>
      <c r="J286" s="73"/>
      <c r="K286" s="100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</row>
    <row r="287">
      <c r="A287" s="73"/>
      <c r="B287" s="14"/>
      <c r="C287" s="14"/>
      <c r="D287" s="73"/>
      <c r="E287" s="73"/>
      <c r="F287" s="73"/>
      <c r="G287" s="73"/>
      <c r="H287" s="73"/>
      <c r="I287" s="73"/>
      <c r="J287" s="73"/>
      <c r="K287" s="100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</row>
    <row r="288">
      <c r="A288" s="73"/>
      <c r="B288" s="14"/>
      <c r="C288" s="14"/>
      <c r="D288" s="73"/>
      <c r="E288" s="73"/>
      <c r="F288" s="73"/>
      <c r="G288" s="73"/>
      <c r="H288" s="73"/>
      <c r="I288" s="73"/>
      <c r="J288" s="73"/>
      <c r="K288" s="100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</row>
    <row r="289">
      <c r="A289" s="73"/>
      <c r="B289" s="14"/>
      <c r="C289" s="14"/>
      <c r="D289" s="73"/>
      <c r="E289" s="73"/>
      <c r="F289" s="73"/>
      <c r="G289" s="73"/>
      <c r="H289" s="73"/>
      <c r="I289" s="73"/>
      <c r="J289" s="73"/>
      <c r="K289" s="100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</row>
    <row r="290">
      <c r="A290" s="73"/>
      <c r="B290" s="14"/>
      <c r="C290" s="14"/>
      <c r="D290" s="73"/>
      <c r="E290" s="73"/>
      <c r="F290" s="73"/>
      <c r="G290" s="73"/>
      <c r="H290" s="73"/>
      <c r="I290" s="73"/>
      <c r="J290" s="73"/>
      <c r="K290" s="100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</row>
    <row r="291">
      <c r="A291" s="73"/>
      <c r="B291" s="14"/>
      <c r="C291" s="14"/>
      <c r="D291" s="73"/>
      <c r="E291" s="73"/>
      <c r="F291" s="73"/>
      <c r="G291" s="73"/>
      <c r="H291" s="73"/>
      <c r="I291" s="73"/>
      <c r="J291" s="73"/>
      <c r="K291" s="100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</row>
    <row r="292">
      <c r="A292" s="73"/>
      <c r="B292" s="14"/>
      <c r="C292" s="14"/>
      <c r="D292" s="73"/>
      <c r="E292" s="73"/>
      <c r="F292" s="73"/>
      <c r="G292" s="73"/>
      <c r="H292" s="73"/>
      <c r="I292" s="73"/>
      <c r="J292" s="73"/>
      <c r="K292" s="100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  <c r="AE292" s="73"/>
    </row>
    <row r="293">
      <c r="A293" s="73"/>
      <c r="B293" s="14"/>
      <c r="C293" s="14"/>
      <c r="D293" s="73"/>
      <c r="E293" s="73"/>
      <c r="F293" s="73"/>
      <c r="G293" s="73"/>
      <c r="H293" s="73"/>
      <c r="I293" s="73"/>
      <c r="J293" s="73"/>
      <c r="K293" s="100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</row>
    <row r="294">
      <c r="A294" s="73"/>
      <c r="B294" s="14"/>
      <c r="C294" s="14"/>
      <c r="D294" s="73"/>
      <c r="E294" s="73"/>
      <c r="F294" s="73"/>
      <c r="G294" s="73"/>
      <c r="H294" s="73"/>
      <c r="I294" s="73"/>
      <c r="J294" s="73"/>
      <c r="K294" s="100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</row>
    <row r="295">
      <c r="A295" s="73"/>
      <c r="B295" s="14"/>
      <c r="C295" s="14"/>
      <c r="D295" s="73"/>
      <c r="E295" s="73"/>
      <c r="F295" s="73"/>
      <c r="G295" s="73"/>
      <c r="H295" s="73"/>
      <c r="I295" s="73"/>
      <c r="J295" s="73"/>
      <c r="K295" s="100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</row>
    <row r="296">
      <c r="A296" s="73"/>
      <c r="B296" s="14"/>
      <c r="C296" s="14"/>
      <c r="D296" s="73"/>
      <c r="E296" s="73"/>
      <c r="F296" s="73"/>
      <c r="G296" s="73"/>
      <c r="H296" s="73"/>
      <c r="I296" s="73"/>
      <c r="J296" s="73"/>
      <c r="K296" s="100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  <c r="AE296" s="73"/>
    </row>
    <row r="297">
      <c r="A297" s="73"/>
      <c r="B297" s="14"/>
      <c r="C297" s="14"/>
      <c r="D297" s="73"/>
      <c r="E297" s="73"/>
      <c r="F297" s="73"/>
      <c r="G297" s="73"/>
      <c r="H297" s="73"/>
      <c r="I297" s="73"/>
      <c r="J297" s="73"/>
      <c r="K297" s="100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/>
    </row>
    <row r="298">
      <c r="A298" s="73"/>
      <c r="B298" s="14"/>
      <c r="C298" s="14"/>
      <c r="D298" s="73"/>
      <c r="E298" s="73"/>
      <c r="F298" s="73"/>
      <c r="G298" s="73"/>
      <c r="H298" s="73"/>
      <c r="I298" s="73"/>
      <c r="J298" s="73"/>
      <c r="K298" s="100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  <c r="AE298" s="73"/>
    </row>
    <row r="299">
      <c r="A299" s="73"/>
      <c r="B299" s="14"/>
      <c r="C299" s="14"/>
      <c r="D299" s="73"/>
      <c r="E299" s="73"/>
      <c r="F299" s="73"/>
      <c r="G299" s="73"/>
      <c r="H299" s="73"/>
      <c r="I299" s="73"/>
      <c r="J299" s="73"/>
      <c r="K299" s="100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</row>
    <row r="300">
      <c r="A300" s="73"/>
      <c r="B300" s="14"/>
      <c r="C300" s="14"/>
      <c r="D300" s="73"/>
      <c r="E300" s="73"/>
      <c r="F300" s="73"/>
      <c r="G300" s="73"/>
      <c r="H300" s="73"/>
      <c r="I300" s="73"/>
      <c r="J300" s="73"/>
      <c r="K300" s="100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  <c r="AE300" s="73"/>
    </row>
    <row r="301">
      <c r="A301" s="73"/>
      <c r="B301" s="14"/>
      <c r="C301" s="14"/>
      <c r="D301" s="73"/>
      <c r="E301" s="73"/>
      <c r="F301" s="73"/>
      <c r="G301" s="73"/>
      <c r="H301" s="73"/>
      <c r="I301" s="73"/>
      <c r="J301" s="73"/>
      <c r="K301" s="100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  <c r="AE301" s="73"/>
    </row>
    <row r="302">
      <c r="A302" s="73"/>
      <c r="B302" s="14"/>
      <c r="C302" s="14"/>
      <c r="D302" s="73"/>
      <c r="E302" s="73"/>
      <c r="F302" s="73"/>
      <c r="G302" s="73"/>
      <c r="H302" s="73"/>
      <c r="I302" s="73"/>
      <c r="J302" s="73"/>
      <c r="K302" s="100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  <c r="AE302" s="73"/>
    </row>
    <row r="303">
      <c r="A303" s="73"/>
      <c r="B303" s="14"/>
      <c r="C303" s="14"/>
      <c r="D303" s="73"/>
      <c r="E303" s="73"/>
      <c r="F303" s="73"/>
      <c r="G303" s="73"/>
      <c r="H303" s="73"/>
      <c r="I303" s="73"/>
      <c r="J303" s="73"/>
      <c r="K303" s="100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  <c r="AE303" s="73"/>
    </row>
    <row r="304">
      <c r="A304" s="73"/>
      <c r="B304" s="14"/>
      <c r="C304" s="14"/>
      <c r="D304" s="73"/>
      <c r="E304" s="73"/>
      <c r="F304" s="73"/>
      <c r="G304" s="73"/>
      <c r="H304" s="73"/>
      <c r="I304" s="73"/>
      <c r="J304" s="73"/>
      <c r="K304" s="100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  <c r="AE304" s="73"/>
    </row>
    <row r="305">
      <c r="A305" s="73"/>
      <c r="B305" s="14"/>
      <c r="C305" s="14"/>
      <c r="D305" s="73"/>
      <c r="E305" s="73"/>
      <c r="F305" s="73"/>
      <c r="G305" s="73"/>
      <c r="H305" s="73"/>
      <c r="I305" s="73"/>
      <c r="J305" s="73"/>
      <c r="K305" s="100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  <c r="AE305" s="73"/>
    </row>
    <row r="306">
      <c r="A306" s="73"/>
      <c r="B306" s="14"/>
      <c r="C306" s="14"/>
      <c r="D306" s="73"/>
      <c r="E306" s="73"/>
      <c r="F306" s="73"/>
      <c r="G306" s="73"/>
      <c r="H306" s="73"/>
      <c r="I306" s="73"/>
      <c r="J306" s="73"/>
      <c r="K306" s="100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  <c r="AE306" s="73"/>
    </row>
    <row r="307">
      <c r="A307" s="73"/>
      <c r="B307" s="14"/>
      <c r="C307" s="14"/>
      <c r="D307" s="73"/>
      <c r="E307" s="73"/>
      <c r="F307" s="73"/>
      <c r="G307" s="73"/>
      <c r="H307" s="73"/>
      <c r="I307" s="73"/>
      <c r="J307" s="73"/>
      <c r="K307" s="100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</row>
    <row r="308">
      <c r="A308" s="73"/>
      <c r="B308" s="14"/>
      <c r="C308" s="14"/>
      <c r="D308" s="73"/>
      <c r="E308" s="73"/>
      <c r="F308" s="73"/>
      <c r="G308" s="73"/>
      <c r="H308" s="73"/>
      <c r="I308" s="73"/>
      <c r="J308" s="73"/>
      <c r="K308" s="100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  <c r="AE308" s="73"/>
    </row>
    <row r="309">
      <c r="A309" s="73"/>
      <c r="B309" s="14"/>
      <c r="C309" s="14"/>
      <c r="D309" s="73"/>
      <c r="E309" s="73"/>
      <c r="F309" s="73"/>
      <c r="G309" s="73"/>
      <c r="H309" s="73"/>
      <c r="I309" s="73"/>
      <c r="J309" s="73"/>
      <c r="K309" s="100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  <c r="AE309" s="73"/>
    </row>
    <row r="310">
      <c r="A310" s="73"/>
      <c r="B310" s="14"/>
      <c r="C310" s="14"/>
      <c r="D310" s="73"/>
      <c r="E310" s="73"/>
      <c r="F310" s="73"/>
      <c r="G310" s="73"/>
      <c r="H310" s="73"/>
      <c r="I310" s="73"/>
      <c r="J310" s="73"/>
      <c r="K310" s="100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  <c r="AE310" s="73"/>
    </row>
    <row r="311">
      <c r="A311" s="73"/>
      <c r="B311" s="14"/>
      <c r="C311" s="14"/>
      <c r="D311" s="73"/>
      <c r="E311" s="73"/>
      <c r="F311" s="73"/>
      <c r="G311" s="73"/>
      <c r="H311" s="73"/>
      <c r="I311" s="73"/>
      <c r="J311" s="73"/>
      <c r="K311" s="100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  <c r="AE311" s="73"/>
    </row>
    <row r="312">
      <c r="A312" s="73"/>
      <c r="B312" s="14"/>
      <c r="C312" s="14"/>
      <c r="D312" s="73"/>
      <c r="E312" s="73"/>
      <c r="F312" s="73"/>
      <c r="G312" s="73"/>
      <c r="H312" s="73"/>
      <c r="I312" s="73"/>
      <c r="J312" s="73"/>
      <c r="K312" s="100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</row>
    <row r="313">
      <c r="A313" s="73"/>
      <c r="B313" s="14"/>
      <c r="C313" s="14"/>
      <c r="D313" s="73"/>
      <c r="E313" s="73"/>
      <c r="F313" s="73"/>
      <c r="G313" s="73"/>
      <c r="H313" s="73"/>
      <c r="I313" s="73"/>
      <c r="J313" s="73"/>
      <c r="K313" s="100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  <c r="AE313" s="73"/>
    </row>
    <row r="314">
      <c r="A314" s="73"/>
      <c r="B314" s="14"/>
      <c r="C314" s="14"/>
      <c r="D314" s="73"/>
      <c r="E314" s="73"/>
      <c r="F314" s="73"/>
      <c r="G314" s="73"/>
      <c r="H314" s="73"/>
      <c r="I314" s="73"/>
      <c r="J314" s="73"/>
      <c r="K314" s="100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</row>
    <row r="315">
      <c r="A315" s="73"/>
      <c r="B315" s="14"/>
      <c r="C315" s="14"/>
      <c r="D315" s="73"/>
      <c r="E315" s="73"/>
      <c r="F315" s="73"/>
      <c r="G315" s="73"/>
      <c r="H315" s="73"/>
      <c r="I315" s="73"/>
      <c r="J315" s="73"/>
      <c r="K315" s="100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  <c r="AE315" s="73"/>
    </row>
    <row r="316">
      <c r="A316" s="73"/>
      <c r="B316" s="14"/>
      <c r="C316" s="14"/>
      <c r="D316" s="73"/>
      <c r="E316" s="73"/>
      <c r="F316" s="73"/>
      <c r="G316" s="73"/>
      <c r="H316" s="73"/>
      <c r="I316" s="73"/>
      <c r="J316" s="73"/>
      <c r="K316" s="100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  <c r="AE316" s="73"/>
    </row>
    <row r="317">
      <c r="A317" s="73"/>
      <c r="B317" s="14"/>
      <c r="C317" s="14"/>
      <c r="D317" s="73"/>
      <c r="E317" s="73"/>
      <c r="F317" s="73"/>
      <c r="G317" s="73"/>
      <c r="H317" s="73"/>
      <c r="I317" s="73"/>
      <c r="J317" s="73"/>
      <c r="K317" s="100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  <c r="AE317" s="73"/>
    </row>
    <row r="318">
      <c r="A318" s="73"/>
      <c r="B318" s="14"/>
      <c r="C318" s="14"/>
      <c r="D318" s="73"/>
      <c r="E318" s="73"/>
      <c r="F318" s="73"/>
      <c r="G318" s="73"/>
      <c r="H318" s="73"/>
      <c r="I318" s="73"/>
      <c r="J318" s="73"/>
      <c r="K318" s="100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  <c r="AE318" s="73"/>
    </row>
    <row r="319">
      <c r="A319" s="73"/>
      <c r="B319" s="14"/>
      <c r="C319" s="14"/>
      <c r="D319" s="73"/>
      <c r="E319" s="73"/>
      <c r="F319" s="73"/>
      <c r="G319" s="73"/>
      <c r="H319" s="73"/>
      <c r="I319" s="73"/>
      <c r="J319" s="73"/>
      <c r="K319" s="100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</row>
    <row r="320">
      <c r="A320" s="73"/>
      <c r="B320" s="14"/>
      <c r="C320" s="14"/>
      <c r="D320" s="73"/>
      <c r="E320" s="73"/>
      <c r="F320" s="73"/>
      <c r="G320" s="73"/>
      <c r="H320" s="73"/>
      <c r="I320" s="73"/>
      <c r="J320" s="73"/>
      <c r="K320" s="100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  <c r="AE320" s="73"/>
    </row>
    <row r="321">
      <c r="A321" s="73"/>
      <c r="B321" s="14"/>
      <c r="C321" s="14"/>
      <c r="D321" s="73"/>
      <c r="E321" s="73"/>
      <c r="F321" s="73"/>
      <c r="G321" s="73"/>
      <c r="H321" s="73"/>
      <c r="I321" s="73"/>
      <c r="J321" s="73"/>
      <c r="K321" s="100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</row>
    <row r="322">
      <c r="A322" s="73"/>
      <c r="B322" s="14"/>
      <c r="C322" s="14"/>
      <c r="D322" s="73"/>
      <c r="E322" s="73"/>
      <c r="F322" s="73"/>
      <c r="G322" s="73"/>
      <c r="H322" s="73"/>
      <c r="I322" s="73"/>
      <c r="J322" s="73"/>
      <c r="K322" s="100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  <c r="AE322" s="73"/>
    </row>
    <row r="323">
      <c r="A323" s="73"/>
      <c r="B323" s="14"/>
      <c r="C323" s="14"/>
      <c r="D323" s="73"/>
      <c r="E323" s="73"/>
      <c r="F323" s="73"/>
      <c r="G323" s="73"/>
      <c r="H323" s="73"/>
      <c r="I323" s="73"/>
      <c r="J323" s="73"/>
      <c r="K323" s="100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</row>
    <row r="324">
      <c r="A324" s="73"/>
      <c r="B324" s="14"/>
      <c r="C324" s="14"/>
      <c r="D324" s="73"/>
      <c r="E324" s="73"/>
      <c r="F324" s="73"/>
      <c r="G324" s="73"/>
      <c r="H324" s="73"/>
      <c r="I324" s="73"/>
      <c r="J324" s="73"/>
      <c r="K324" s="100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</row>
    <row r="325">
      <c r="A325" s="73"/>
      <c r="B325" s="14"/>
      <c r="C325" s="14"/>
      <c r="D325" s="73"/>
      <c r="E325" s="73"/>
      <c r="F325" s="73"/>
      <c r="G325" s="73"/>
      <c r="H325" s="73"/>
      <c r="I325" s="73"/>
      <c r="J325" s="73"/>
      <c r="K325" s="100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  <c r="AE325" s="73"/>
    </row>
    <row r="326">
      <c r="A326" s="73"/>
      <c r="B326" s="14"/>
      <c r="C326" s="14"/>
      <c r="D326" s="73"/>
      <c r="E326" s="73"/>
      <c r="F326" s="73"/>
      <c r="G326" s="73"/>
      <c r="H326" s="73"/>
      <c r="I326" s="73"/>
      <c r="J326" s="73"/>
      <c r="K326" s="100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  <c r="AE326" s="73"/>
    </row>
    <row r="327">
      <c r="A327" s="73"/>
      <c r="B327" s="14"/>
      <c r="C327" s="14"/>
      <c r="D327" s="73"/>
      <c r="E327" s="73"/>
      <c r="F327" s="73"/>
      <c r="G327" s="73"/>
      <c r="H327" s="73"/>
      <c r="I327" s="73"/>
      <c r="J327" s="73"/>
      <c r="K327" s="100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</row>
    <row r="328">
      <c r="A328" s="73"/>
      <c r="B328" s="14"/>
      <c r="C328" s="14"/>
      <c r="D328" s="73"/>
      <c r="E328" s="73"/>
      <c r="F328" s="73"/>
      <c r="G328" s="73"/>
      <c r="H328" s="73"/>
      <c r="I328" s="73"/>
      <c r="J328" s="73"/>
      <c r="K328" s="100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  <c r="AE328" s="73"/>
    </row>
    <row r="329">
      <c r="A329" s="73"/>
      <c r="B329" s="14"/>
      <c r="C329" s="14"/>
      <c r="D329" s="73"/>
      <c r="E329" s="73"/>
      <c r="F329" s="73"/>
      <c r="G329" s="73"/>
      <c r="H329" s="73"/>
      <c r="I329" s="73"/>
      <c r="J329" s="73"/>
      <c r="K329" s="100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</row>
    <row r="330">
      <c r="A330" s="73"/>
      <c r="B330" s="14"/>
      <c r="C330" s="14"/>
      <c r="D330" s="73"/>
      <c r="E330" s="73"/>
      <c r="F330" s="73"/>
      <c r="G330" s="73"/>
      <c r="H330" s="73"/>
      <c r="I330" s="73"/>
      <c r="J330" s="73"/>
      <c r="K330" s="100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  <c r="AE330" s="73"/>
    </row>
    <row r="331">
      <c r="A331" s="73"/>
      <c r="B331" s="14"/>
      <c r="C331" s="14"/>
      <c r="D331" s="73"/>
      <c r="E331" s="73"/>
      <c r="F331" s="73"/>
      <c r="G331" s="73"/>
      <c r="H331" s="73"/>
      <c r="I331" s="73"/>
      <c r="J331" s="73"/>
      <c r="K331" s="100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  <c r="AE331" s="73"/>
    </row>
    <row r="332">
      <c r="A332" s="73"/>
      <c r="B332" s="14"/>
      <c r="C332" s="14"/>
      <c r="D332" s="73"/>
      <c r="E332" s="73"/>
      <c r="F332" s="73"/>
      <c r="G332" s="73"/>
      <c r="H332" s="73"/>
      <c r="I332" s="73"/>
      <c r="J332" s="73"/>
      <c r="K332" s="100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  <c r="AE332" s="73"/>
    </row>
    <row r="333">
      <c r="A333" s="73"/>
      <c r="B333" s="14"/>
      <c r="C333" s="14"/>
      <c r="D333" s="73"/>
      <c r="E333" s="73"/>
      <c r="F333" s="73"/>
      <c r="G333" s="73"/>
      <c r="H333" s="73"/>
      <c r="I333" s="73"/>
      <c r="J333" s="73"/>
      <c r="K333" s="100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  <c r="AE333" s="73"/>
    </row>
    <row r="334">
      <c r="A334" s="73"/>
      <c r="B334" s="14"/>
      <c r="C334" s="14"/>
      <c r="D334" s="73"/>
      <c r="E334" s="73"/>
      <c r="F334" s="73"/>
      <c r="G334" s="73"/>
      <c r="H334" s="73"/>
      <c r="I334" s="73"/>
      <c r="J334" s="73"/>
      <c r="K334" s="100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  <c r="AE334" s="73"/>
    </row>
    <row r="335">
      <c r="A335" s="73"/>
      <c r="B335" s="14"/>
      <c r="C335" s="14"/>
      <c r="D335" s="73"/>
      <c r="E335" s="73"/>
      <c r="F335" s="73"/>
      <c r="G335" s="73"/>
      <c r="H335" s="73"/>
      <c r="I335" s="73"/>
      <c r="J335" s="73"/>
      <c r="K335" s="100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  <c r="AE335" s="73"/>
    </row>
    <row r="336">
      <c r="A336" s="73"/>
      <c r="B336" s="14"/>
      <c r="C336" s="14"/>
      <c r="D336" s="73"/>
      <c r="E336" s="73"/>
      <c r="F336" s="73"/>
      <c r="G336" s="73"/>
      <c r="H336" s="73"/>
      <c r="I336" s="73"/>
      <c r="J336" s="73"/>
      <c r="K336" s="100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</row>
    <row r="337">
      <c r="A337" s="73"/>
      <c r="B337" s="14"/>
      <c r="C337" s="14"/>
      <c r="D337" s="73"/>
      <c r="E337" s="73"/>
      <c r="F337" s="73"/>
      <c r="G337" s="73"/>
      <c r="H337" s="73"/>
      <c r="I337" s="73"/>
      <c r="J337" s="73"/>
      <c r="K337" s="100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  <c r="AE337" s="73"/>
    </row>
    <row r="338">
      <c r="A338" s="73"/>
      <c r="B338" s="14"/>
      <c r="C338" s="14"/>
      <c r="D338" s="73"/>
      <c r="E338" s="73"/>
      <c r="F338" s="73"/>
      <c r="G338" s="73"/>
      <c r="H338" s="73"/>
      <c r="I338" s="73"/>
      <c r="J338" s="73"/>
      <c r="K338" s="100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  <c r="AE338" s="73"/>
    </row>
    <row r="339">
      <c r="A339" s="73"/>
      <c r="B339" s="14"/>
      <c r="C339" s="14"/>
      <c r="D339" s="73"/>
      <c r="E339" s="73"/>
      <c r="F339" s="73"/>
      <c r="G339" s="73"/>
      <c r="H339" s="73"/>
      <c r="I339" s="73"/>
      <c r="J339" s="73"/>
      <c r="K339" s="100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</row>
    <row r="340">
      <c r="A340" s="73"/>
      <c r="B340" s="14"/>
      <c r="C340" s="14"/>
      <c r="D340" s="73"/>
      <c r="E340" s="73"/>
      <c r="F340" s="73"/>
      <c r="G340" s="73"/>
      <c r="H340" s="73"/>
      <c r="I340" s="73"/>
      <c r="J340" s="73"/>
      <c r="K340" s="100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  <c r="AE340" s="73"/>
    </row>
    <row r="341">
      <c r="A341" s="73"/>
      <c r="B341" s="14"/>
      <c r="C341" s="14"/>
      <c r="D341" s="73"/>
      <c r="E341" s="73"/>
      <c r="F341" s="73"/>
      <c r="G341" s="73"/>
      <c r="H341" s="73"/>
      <c r="I341" s="73"/>
      <c r="J341" s="73"/>
      <c r="K341" s="100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  <c r="AE341" s="73"/>
    </row>
    <row r="342">
      <c r="A342" s="73"/>
      <c r="B342" s="14"/>
      <c r="C342" s="14"/>
      <c r="D342" s="73"/>
      <c r="E342" s="73"/>
      <c r="F342" s="73"/>
      <c r="G342" s="73"/>
      <c r="H342" s="73"/>
      <c r="I342" s="73"/>
      <c r="J342" s="73"/>
      <c r="K342" s="100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  <c r="AE342" s="73"/>
    </row>
    <row r="343">
      <c r="A343" s="73"/>
      <c r="B343" s="14"/>
      <c r="C343" s="14"/>
      <c r="D343" s="73"/>
      <c r="E343" s="73"/>
      <c r="F343" s="73"/>
      <c r="G343" s="73"/>
      <c r="H343" s="73"/>
      <c r="I343" s="73"/>
      <c r="J343" s="73"/>
      <c r="K343" s="100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  <c r="AE343" s="73"/>
    </row>
    <row r="344">
      <c r="A344" s="73"/>
      <c r="B344" s="14"/>
      <c r="C344" s="14"/>
      <c r="D344" s="73"/>
      <c r="E344" s="73"/>
      <c r="F344" s="73"/>
      <c r="G344" s="73"/>
      <c r="H344" s="73"/>
      <c r="I344" s="73"/>
      <c r="J344" s="73"/>
      <c r="K344" s="100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  <c r="AE344" s="73"/>
    </row>
    <row r="345">
      <c r="A345" s="73"/>
      <c r="B345" s="14"/>
      <c r="C345" s="14"/>
      <c r="D345" s="73"/>
      <c r="E345" s="73"/>
      <c r="F345" s="73"/>
      <c r="G345" s="73"/>
      <c r="H345" s="73"/>
      <c r="I345" s="73"/>
      <c r="J345" s="73"/>
      <c r="K345" s="100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  <c r="AE345" s="73"/>
    </row>
    <row r="346">
      <c r="A346" s="73"/>
      <c r="B346" s="14"/>
      <c r="C346" s="14"/>
      <c r="D346" s="73"/>
      <c r="E346" s="73"/>
      <c r="F346" s="73"/>
      <c r="G346" s="73"/>
      <c r="H346" s="73"/>
      <c r="I346" s="73"/>
      <c r="J346" s="73"/>
      <c r="K346" s="100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  <c r="AE346" s="73"/>
    </row>
    <row r="347">
      <c r="A347" s="73"/>
      <c r="B347" s="14"/>
      <c r="C347" s="14"/>
      <c r="D347" s="73"/>
      <c r="E347" s="73"/>
      <c r="F347" s="73"/>
      <c r="G347" s="73"/>
      <c r="H347" s="73"/>
      <c r="I347" s="73"/>
      <c r="J347" s="73"/>
      <c r="K347" s="100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</row>
    <row r="348">
      <c r="A348" s="73"/>
      <c r="B348" s="14"/>
      <c r="C348" s="14"/>
      <c r="D348" s="73"/>
      <c r="E348" s="73"/>
      <c r="F348" s="73"/>
      <c r="G348" s="73"/>
      <c r="H348" s="73"/>
      <c r="I348" s="73"/>
      <c r="J348" s="73"/>
      <c r="K348" s="100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  <c r="AE348" s="73"/>
    </row>
    <row r="349">
      <c r="A349" s="73"/>
      <c r="B349" s="14"/>
      <c r="C349" s="14"/>
      <c r="D349" s="73"/>
      <c r="E349" s="73"/>
      <c r="F349" s="73"/>
      <c r="G349" s="73"/>
      <c r="H349" s="73"/>
      <c r="I349" s="73"/>
      <c r="J349" s="73"/>
      <c r="K349" s="100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  <c r="AE349" s="73"/>
    </row>
    <row r="350">
      <c r="A350" s="73"/>
      <c r="B350" s="14"/>
      <c r="C350" s="14"/>
      <c r="D350" s="73"/>
      <c r="E350" s="73"/>
      <c r="F350" s="73"/>
      <c r="G350" s="73"/>
      <c r="H350" s="73"/>
      <c r="I350" s="73"/>
      <c r="J350" s="73"/>
      <c r="K350" s="100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  <c r="AE350" s="73"/>
    </row>
    <row r="351">
      <c r="A351" s="73"/>
      <c r="B351" s="14"/>
      <c r="C351" s="14"/>
      <c r="D351" s="73"/>
      <c r="E351" s="73"/>
      <c r="F351" s="73"/>
      <c r="G351" s="73"/>
      <c r="H351" s="73"/>
      <c r="I351" s="73"/>
      <c r="J351" s="73"/>
      <c r="K351" s="100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  <c r="AE351" s="73"/>
    </row>
    <row r="352">
      <c r="A352" s="73"/>
      <c r="B352" s="14"/>
      <c r="C352" s="14"/>
      <c r="D352" s="73"/>
      <c r="E352" s="73"/>
      <c r="F352" s="73"/>
      <c r="G352" s="73"/>
      <c r="H352" s="73"/>
      <c r="I352" s="73"/>
      <c r="J352" s="73"/>
      <c r="K352" s="100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  <c r="AE352" s="73"/>
    </row>
    <row r="353">
      <c r="A353" s="73"/>
      <c r="B353" s="14"/>
      <c r="C353" s="14"/>
      <c r="D353" s="73"/>
      <c r="E353" s="73"/>
      <c r="F353" s="73"/>
      <c r="G353" s="73"/>
      <c r="H353" s="73"/>
      <c r="I353" s="73"/>
      <c r="J353" s="73"/>
      <c r="K353" s="100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  <c r="AE353" s="73"/>
    </row>
    <row r="354">
      <c r="A354" s="73"/>
      <c r="B354" s="14"/>
      <c r="C354" s="14"/>
      <c r="D354" s="73"/>
      <c r="E354" s="73"/>
      <c r="F354" s="73"/>
      <c r="G354" s="73"/>
      <c r="H354" s="73"/>
      <c r="I354" s="73"/>
      <c r="J354" s="73"/>
      <c r="K354" s="100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</row>
    <row r="355">
      <c r="A355" s="73"/>
      <c r="B355" s="14"/>
      <c r="C355" s="14"/>
      <c r="D355" s="73"/>
      <c r="E355" s="73"/>
      <c r="F355" s="73"/>
      <c r="G355" s="73"/>
      <c r="H355" s="73"/>
      <c r="I355" s="73"/>
      <c r="J355" s="73"/>
      <c r="K355" s="100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  <c r="AE355" s="73"/>
    </row>
    <row r="356">
      <c r="A356" s="73"/>
      <c r="B356" s="14"/>
      <c r="C356" s="14"/>
      <c r="D356" s="73"/>
      <c r="E356" s="73"/>
      <c r="F356" s="73"/>
      <c r="G356" s="73"/>
      <c r="H356" s="73"/>
      <c r="I356" s="73"/>
      <c r="J356" s="73"/>
      <c r="K356" s="100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</row>
    <row r="357">
      <c r="A357" s="73"/>
      <c r="B357" s="14"/>
      <c r="C357" s="14"/>
      <c r="D357" s="73"/>
      <c r="E357" s="73"/>
      <c r="F357" s="73"/>
      <c r="G357" s="73"/>
      <c r="H357" s="73"/>
      <c r="I357" s="73"/>
      <c r="J357" s="73"/>
      <c r="K357" s="100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</row>
    <row r="358">
      <c r="A358" s="73"/>
      <c r="B358" s="14"/>
      <c r="C358" s="14"/>
      <c r="D358" s="73"/>
      <c r="E358" s="73"/>
      <c r="F358" s="73"/>
      <c r="G358" s="73"/>
      <c r="H358" s="73"/>
      <c r="I358" s="73"/>
      <c r="J358" s="73"/>
      <c r="K358" s="100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  <c r="AE358" s="73"/>
    </row>
    <row r="359">
      <c r="A359" s="73"/>
      <c r="B359" s="14"/>
      <c r="C359" s="14"/>
      <c r="D359" s="73"/>
      <c r="E359" s="73"/>
      <c r="F359" s="73"/>
      <c r="G359" s="73"/>
      <c r="H359" s="73"/>
      <c r="I359" s="73"/>
      <c r="J359" s="73"/>
      <c r="K359" s="100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  <c r="AE359" s="73"/>
    </row>
    <row r="360">
      <c r="A360" s="73"/>
      <c r="B360" s="14"/>
      <c r="C360" s="14"/>
      <c r="D360" s="73"/>
      <c r="E360" s="73"/>
      <c r="F360" s="73"/>
      <c r="G360" s="73"/>
      <c r="H360" s="73"/>
      <c r="I360" s="73"/>
      <c r="J360" s="73"/>
      <c r="K360" s="100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  <c r="AE360" s="73"/>
    </row>
    <row r="361">
      <c r="A361" s="73"/>
      <c r="B361" s="14"/>
      <c r="C361" s="14"/>
      <c r="D361" s="73"/>
      <c r="E361" s="73"/>
      <c r="F361" s="73"/>
      <c r="G361" s="73"/>
      <c r="H361" s="73"/>
      <c r="I361" s="73"/>
      <c r="J361" s="73"/>
      <c r="K361" s="100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  <c r="AE361" s="73"/>
    </row>
    <row r="362">
      <c r="A362" s="73"/>
      <c r="B362" s="14"/>
      <c r="C362" s="14"/>
      <c r="D362" s="73"/>
      <c r="E362" s="73"/>
      <c r="F362" s="73"/>
      <c r="G362" s="73"/>
      <c r="H362" s="73"/>
      <c r="I362" s="73"/>
      <c r="J362" s="73"/>
      <c r="K362" s="100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  <c r="AE362" s="73"/>
    </row>
    <row r="363">
      <c r="A363" s="73"/>
      <c r="B363" s="14"/>
      <c r="C363" s="14"/>
      <c r="D363" s="73"/>
      <c r="E363" s="73"/>
      <c r="F363" s="73"/>
      <c r="G363" s="73"/>
      <c r="H363" s="73"/>
      <c r="I363" s="73"/>
      <c r="J363" s="73"/>
      <c r="K363" s="100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  <c r="AE363" s="73"/>
    </row>
    <row r="364">
      <c r="A364" s="73"/>
      <c r="B364" s="14"/>
      <c r="C364" s="14"/>
      <c r="D364" s="73"/>
      <c r="E364" s="73"/>
      <c r="F364" s="73"/>
      <c r="G364" s="73"/>
      <c r="H364" s="73"/>
      <c r="I364" s="73"/>
      <c r="J364" s="73"/>
      <c r="K364" s="100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</row>
    <row r="365">
      <c r="A365" s="73"/>
      <c r="B365" s="14"/>
      <c r="C365" s="14"/>
      <c r="D365" s="73"/>
      <c r="E365" s="73"/>
      <c r="F365" s="73"/>
      <c r="G365" s="73"/>
      <c r="H365" s="73"/>
      <c r="I365" s="73"/>
      <c r="J365" s="73"/>
      <c r="K365" s="100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  <c r="AE365" s="73"/>
    </row>
    <row r="366">
      <c r="A366" s="73"/>
      <c r="B366" s="14"/>
      <c r="C366" s="14"/>
      <c r="D366" s="73"/>
      <c r="E366" s="73"/>
      <c r="F366" s="73"/>
      <c r="G366" s="73"/>
      <c r="H366" s="73"/>
      <c r="I366" s="73"/>
      <c r="J366" s="73"/>
      <c r="K366" s="100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  <c r="AE366" s="73"/>
    </row>
    <row r="367">
      <c r="A367" s="73"/>
      <c r="B367" s="14"/>
      <c r="C367" s="14"/>
      <c r="D367" s="73"/>
      <c r="E367" s="73"/>
      <c r="F367" s="73"/>
      <c r="G367" s="73"/>
      <c r="H367" s="73"/>
      <c r="I367" s="73"/>
      <c r="J367" s="73"/>
      <c r="K367" s="100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  <c r="AE367" s="73"/>
    </row>
    <row r="368">
      <c r="A368" s="73"/>
      <c r="B368" s="14"/>
      <c r="C368" s="14"/>
      <c r="D368" s="73"/>
      <c r="E368" s="73"/>
      <c r="F368" s="73"/>
      <c r="G368" s="73"/>
      <c r="H368" s="73"/>
      <c r="I368" s="73"/>
      <c r="J368" s="73"/>
      <c r="K368" s="100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  <c r="AE368" s="73"/>
    </row>
    <row r="369">
      <c r="A369" s="73"/>
      <c r="B369" s="14"/>
      <c r="C369" s="14"/>
      <c r="D369" s="73"/>
      <c r="E369" s="73"/>
      <c r="F369" s="73"/>
      <c r="G369" s="73"/>
      <c r="H369" s="73"/>
      <c r="I369" s="73"/>
      <c r="J369" s="73"/>
      <c r="K369" s="100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</row>
    <row r="370">
      <c r="A370" s="73"/>
      <c r="B370" s="14"/>
      <c r="C370" s="14"/>
      <c r="D370" s="73"/>
      <c r="E370" s="73"/>
      <c r="F370" s="73"/>
      <c r="G370" s="73"/>
      <c r="H370" s="73"/>
      <c r="I370" s="73"/>
      <c r="J370" s="73"/>
      <c r="K370" s="100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  <c r="AE370" s="73"/>
    </row>
    <row r="371">
      <c r="A371" s="73"/>
      <c r="B371" s="14"/>
      <c r="C371" s="14"/>
      <c r="D371" s="73"/>
      <c r="E371" s="73"/>
      <c r="F371" s="73"/>
      <c r="G371" s="73"/>
      <c r="H371" s="73"/>
      <c r="I371" s="73"/>
      <c r="J371" s="73"/>
      <c r="K371" s="100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</row>
    <row r="372">
      <c r="A372" s="73"/>
      <c r="B372" s="14"/>
      <c r="C372" s="14"/>
      <c r="D372" s="73"/>
      <c r="E372" s="73"/>
      <c r="F372" s="73"/>
      <c r="G372" s="73"/>
      <c r="H372" s="73"/>
      <c r="I372" s="73"/>
      <c r="J372" s="73"/>
      <c r="K372" s="100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  <c r="AE372" s="73"/>
    </row>
    <row r="373">
      <c r="A373" s="73"/>
      <c r="B373" s="14"/>
      <c r="C373" s="14"/>
      <c r="D373" s="73"/>
      <c r="E373" s="73"/>
      <c r="F373" s="73"/>
      <c r="G373" s="73"/>
      <c r="H373" s="73"/>
      <c r="I373" s="73"/>
      <c r="J373" s="73"/>
      <c r="K373" s="100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</row>
    <row r="374">
      <c r="A374" s="73"/>
      <c r="B374" s="14"/>
      <c r="C374" s="14"/>
      <c r="D374" s="73"/>
      <c r="E374" s="73"/>
      <c r="F374" s="73"/>
      <c r="G374" s="73"/>
      <c r="H374" s="73"/>
      <c r="I374" s="73"/>
      <c r="J374" s="73"/>
      <c r="K374" s="100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  <c r="AE374" s="73"/>
    </row>
    <row r="375">
      <c r="A375" s="73"/>
      <c r="B375" s="14"/>
      <c r="C375" s="14"/>
      <c r="D375" s="73"/>
      <c r="E375" s="73"/>
      <c r="F375" s="73"/>
      <c r="G375" s="73"/>
      <c r="H375" s="73"/>
      <c r="I375" s="73"/>
      <c r="J375" s="73"/>
      <c r="K375" s="100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</row>
    <row r="376">
      <c r="A376" s="73"/>
      <c r="B376" s="14"/>
      <c r="C376" s="14"/>
      <c r="D376" s="73"/>
      <c r="E376" s="73"/>
      <c r="F376" s="73"/>
      <c r="G376" s="73"/>
      <c r="H376" s="73"/>
      <c r="I376" s="73"/>
      <c r="J376" s="73"/>
      <c r="K376" s="100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  <c r="AE376" s="73"/>
    </row>
    <row r="377">
      <c r="A377" s="73"/>
      <c r="B377" s="14"/>
      <c r="C377" s="14"/>
      <c r="D377" s="73"/>
      <c r="E377" s="73"/>
      <c r="F377" s="73"/>
      <c r="G377" s="73"/>
      <c r="H377" s="73"/>
      <c r="I377" s="73"/>
      <c r="J377" s="73"/>
      <c r="K377" s="100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  <c r="AE377" s="73"/>
    </row>
    <row r="378">
      <c r="A378" s="73"/>
      <c r="B378" s="14"/>
      <c r="C378" s="14"/>
      <c r="D378" s="73"/>
      <c r="E378" s="73"/>
      <c r="F378" s="73"/>
      <c r="G378" s="73"/>
      <c r="H378" s="73"/>
      <c r="I378" s="73"/>
      <c r="J378" s="73"/>
      <c r="K378" s="100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  <c r="AE378" s="73"/>
    </row>
    <row r="379">
      <c r="A379" s="73"/>
      <c r="B379" s="14"/>
      <c r="C379" s="14"/>
      <c r="D379" s="73"/>
      <c r="E379" s="73"/>
      <c r="F379" s="73"/>
      <c r="G379" s="73"/>
      <c r="H379" s="73"/>
      <c r="I379" s="73"/>
      <c r="J379" s="73"/>
      <c r="K379" s="100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  <c r="AE379" s="73"/>
    </row>
    <row r="380">
      <c r="A380" s="73"/>
      <c r="B380" s="14"/>
      <c r="C380" s="14"/>
      <c r="D380" s="73"/>
      <c r="E380" s="73"/>
      <c r="F380" s="73"/>
      <c r="G380" s="73"/>
      <c r="H380" s="73"/>
      <c r="I380" s="73"/>
      <c r="J380" s="73"/>
      <c r="K380" s="100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  <c r="AE380" s="73"/>
    </row>
    <row r="381">
      <c r="A381" s="73"/>
      <c r="B381" s="14"/>
      <c r="C381" s="14"/>
      <c r="D381" s="73"/>
      <c r="E381" s="73"/>
      <c r="F381" s="73"/>
      <c r="G381" s="73"/>
      <c r="H381" s="73"/>
      <c r="I381" s="73"/>
      <c r="J381" s="73"/>
      <c r="K381" s="100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</row>
    <row r="382">
      <c r="A382" s="73"/>
      <c r="B382" s="14"/>
      <c r="C382" s="14"/>
      <c r="D382" s="73"/>
      <c r="E382" s="73"/>
      <c r="F382" s="73"/>
      <c r="G382" s="73"/>
      <c r="H382" s="73"/>
      <c r="I382" s="73"/>
      <c r="J382" s="73"/>
      <c r="K382" s="100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  <c r="AE382" s="73"/>
    </row>
    <row r="383">
      <c r="A383" s="73"/>
      <c r="B383" s="14"/>
      <c r="C383" s="14"/>
      <c r="D383" s="73"/>
      <c r="E383" s="73"/>
      <c r="F383" s="73"/>
      <c r="G383" s="73"/>
      <c r="H383" s="73"/>
      <c r="I383" s="73"/>
      <c r="J383" s="73"/>
      <c r="K383" s="100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  <c r="AE383" s="73"/>
    </row>
    <row r="384">
      <c r="A384" s="73"/>
      <c r="B384" s="14"/>
      <c r="C384" s="14"/>
      <c r="D384" s="73"/>
      <c r="E384" s="73"/>
      <c r="F384" s="73"/>
      <c r="G384" s="73"/>
      <c r="H384" s="73"/>
      <c r="I384" s="73"/>
      <c r="J384" s="73"/>
      <c r="K384" s="100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</row>
    <row r="385">
      <c r="A385" s="73"/>
      <c r="B385" s="14"/>
      <c r="C385" s="14"/>
      <c r="D385" s="73"/>
      <c r="E385" s="73"/>
      <c r="F385" s="73"/>
      <c r="G385" s="73"/>
      <c r="H385" s="73"/>
      <c r="I385" s="73"/>
      <c r="J385" s="73"/>
      <c r="K385" s="100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  <c r="AE385" s="73"/>
    </row>
    <row r="386">
      <c r="A386" s="73"/>
      <c r="B386" s="14"/>
      <c r="C386" s="14"/>
      <c r="D386" s="73"/>
      <c r="E386" s="73"/>
      <c r="F386" s="73"/>
      <c r="G386" s="73"/>
      <c r="H386" s="73"/>
      <c r="I386" s="73"/>
      <c r="J386" s="73"/>
      <c r="K386" s="100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</row>
    <row r="387">
      <c r="A387" s="73"/>
      <c r="B387" s="14"/>
      <c r="C387" s="14"/>
      <c r="D387" s="73"/>
      <c r="E387" s="73"/>
      <c r="F387" s="73"/>
      <c r="G387" s="73"/>
      <c r="H387" s="73"/>
      <c r="I387" s="73"/>
      <c r="J387" s="73"/>
      <c r="K387" s="100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  <c r="AE387" s="73"/>
    </row>
    <row r="388">
      <c r="A388" s="73"/>
      <c r="B388" s="14"/>
      <c r="C388" s="14"/>
      <c r="D388" s="73"/>
      <c r="E388" s="73"/>
      <c r="F388" s="73"/>
      <c r="G388" s="73"/>
      <c r="H388" s="73"/>
      <c r="I388" s="73"/>
      <c r="J388" s="73"/>
      <c r="K388" s="100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</row>
    <row r="389">
      <c r="A389" s="73"/>
      <c r="B389" s="14"/>
      <c r="C389" s="14"/>
      <c r="D389" s="73"/>
      <c r="E389" s="73"/>
      <c r="F389" s="73"/>
      <c r="G389" s="73"/>
      <c r="H389" s="73"/>
      <c r="I389" s="73"/>
      <c r="J389" s="73"/>
      <c r="K389" s="100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  <c r="AE389" s="73"/>
    </row>
    <row r="390">
      <c r="A390" s="73"/>
      <c r="B390" s="14"/>
      <c r="C390" s="14"/>
      <c r="D390" s="73"/>
      <c r="E390" s="73"/>
      <c r="F390" s="73"/>
      <c r="G390" s="73"/>
      <c r="H390" s="73"/>
      <c r="I390" s="73"/>
      <c r="J390" s="73"/>
      <c r="K390" s="100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</row>
    <row r="391">
      <c r="A391" s="73"/>
      <c r="B391" s="14"/>
      <c r="C391" s="14"/>
      <c r="D391" s="73"/>
      <c r="E391" s="73"/>
      <c r="F391" s="73"/>
      <c r="G391" s="73"/>
      <c r="H391" s="73"/>
      <c r="I391" s="73"/>
      <c r="J391" s="73"/>
      <c r="K391" s="100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</row>
    <row r="392">
      <c r="A392" s="73"/>
      <c r="B392" s="14"/>
      <c r="C392" s="14"/>
      <c r="D392" s="73"/>
      <c r="E392" s="73"/>
      <c r="F392" s="73"/>
      <c r="G392" s="73"/>
      <c r="H392" s="73"/>
      <c r="I392" s="73"/>
      <c r="J392" s="73"/>
      <c r="K392" s="100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  <c r="AE392" s="73"/>
    </row>
    <row r="393">
      <c r="A393" s="73"/>
      <c r="B393" s="14"/>
      <c r="C393" s="14"/>
      <c r="D393" s="73"/>
      <c r="E393" s="73"/>
      <c r="F393" s="73"/>
      <c r="G393" s="73"/>
      <c r="H393" s="73"/>
      <c r="I393" s="73"/>
      <c r="J393" s="73"/>
      <c r="K393" s="100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</row>
    <row r="394">
      <c r="A394" s="73"/>
      <c r="B394" s="14"/>
      <c r="C394" s="14"/>
      <c r="D394" s="73"/>
      <c r="E394" s="73"/>
      <c r="F394" s="73"/>
      <c r="G394" s="73"/>
      <c r="H394" s="73"/>
      <c r="I394" s="73"/>
      <c r="J394" s="73"/>
      <c r="K394" s="100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</row>
    <row r="395">
      <c r="A395" s="73"/>
      <c r="B395" s="14"/>
      <c r="C395" s="14"/>
      <c r="D395" s="73"/>
      <c r="E395" s="73"/>
      <c r="F395" s="73"/>
      <c r="G395" s="73"/>
      <c r="H395" s="73"/>
      <c r="I395" s="73"/>
      <c r="J395" s="73"/>
      <c r="K395" s="100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  <c r="AE395" s="73"/>
    </row>
    <row r="396">
      <c r="A396" s="73"/>
      <c r="B396" s="14"/>
      <c r="C396" s="14"/>
      <c r="D396" s="73"/>
      <c r="E396" s="73"/>
      <c r="F396" s="73"/>
      <c r="G396" s="73"/>
      <c r="H396" s="73"/>
      <c r="I396" s="73"/>
      <c r="J396" s="73"/>
      <c r="K396" s="100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  <c r="AE396" s="73"/>
    </row>
    <row r="397">
      <c r="A397" s="73"/>
      <c r="B397" s="14"/>
      <c r="C397" s="14"/>
      <c r="D397" s="73"/>
      <c r="E397" s="73"/>
      <c r="F397" s="73"/>
      <c r="G397" s="73"/>
      <c r="H397" s="73"/>
      <c r="I397" s="73"/>
      <c r="J397" s="73"/>
      <c r="K397" s="100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</row>
    <row r="398">
      <c r="A398" s="73"/>
      <c r="B398" s="14"/>
      <c r="C398" s="14"/>
      <c r="D398" s="73"/>
      <c r="E398" s="73"/>
      <c r="F398" s="73"/>
      <c r="G398" s="73"/>
      <c r="H398" s="73"/>
      <c r="I398" s="73"/>
      <c r="J398" s="73"/>
      <c r="K398" s="100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</row>
    <row r="399">
      <c r="A399" s="73"/>
      <c r="B399" s="14"/>
      <c r="C399" s="14"/>
      <c r="D399" s="73"/>
      <c r="E399" s="73"/>
      <c r="F399" s="73"/>
      <c r="G399" s="73"/>
      <c r="H399" s="73"/>
      <c r="I399" s="73"/>
      <c r="J399" s="73"/>
      <c r="K399" s="100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</row>
    <row r="400">
      <c r="A400" s="73"/>
      <c r="B400" s="14"/>
      <c r="C400" s="14"/>
      <c r="D400" s="73"/>
      <c r="E400" s="73"/>
      <c r="F400" s="73"/>
      <c r="G400" s="73"/>
      <c r="H400" s="73"/>
      <c r="I400" s="73"/>
      <c r="J400" s="73"/>
      <c r="K400" s="100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  <c r="AE400" s="73"/>
    </row>
    <row r="401">
      <c r="A401" s="73"/>
      <c r="B401" s="14"/>
      <c r="C401" s="14"/>
      <c r="D401" s="73"/>
      <c r="E401" s="73"/>
      <c r="F401" s="73"/>
      <c r="G401" s="73"/>
      <c r="H401" s="73"/>
      <c r="I401" s="73"/>
      <c r="J401" s="73"/>
      <c r="K401" s="100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</row>
    <row r="402">
      <c r="A402" s="73"/>
      <c r="B402" s="14"/>
      <c r="C402" s="14"/>
      <c r="D402" s="73"/>
      <c r="E402" s="73"/>
      <c r="F402" s="73"/>
      <c r="G402" s="73"/>
      <c r="H402" s="73"/>
      <c r="I402" s="73"/>
      <c r="J402" s="73"/>
      <c r="K402" s="100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  <c r="AE402" s="73"/>
    </row>
    <row r="403">
      <c r="A403" s="73"/>
      <c r="B403" s="14"/>
      <c r="C403" s="14"/>
      <c r="D403" s="73"/>
      <c r="E403" s="73"/>
      <c r="F403" s="73"/>
      <c r="G403" s="73"/>
      <c r="H403" s="73"/>
      <c r="I403" s="73"/>
      <c r="J403" s="73"/>
      <c r="K403" s="100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  <c r="AE403" s="73"/>
    </row>
    <row r="404">
      <c r="A404" s="73"/>
      <c r="B404" s="14"/>
      <c r="C404" s="14"/>
      <c r="D404" s="73"/>
      <c r="E404" s="73"/>
      <c r="F404" s="73"/>
      <c r="G404" s="73"/>
      <c r="H404" s="73"/>
      <c r="I404" s="73"/>
      <c r="J404" s="73"/>
      <c r="K404" s="100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  <c r="AE404" s="73"/>
    </row>
    <row r="405">
      <c r="A405" s="73"/>
      <c r="B405" s="14"/>
      <c r="C405" s="14"/>
      <c r="D405" s="73"/>
      <c r="E405" s="73"/>
      <c r="F405" s="73"/>
      <c r="G405" s="73"/>
      <c r="H405" s="73"/>
      <c r="I405" s="73"/>
      <c r="J405" s="73"/>
      <c r="K405" s="100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  <c r="AE405" s="73"/>
    </row>
    <row r="406">
      <c r="A406" s="73"/>
      <c r="B406" s="14"/>
      <c r="C406" s="14"/>
      <c r="D406" s="73"/>
      <c r="E406" s="73"/>
      <c r="F406" s="73"/>
      <c r="G406" s="73"/>
      <c r="H406" s="73"/>
      <c r="I406" s="73"/>
      <c r="J406" s="73"/>
      <c r="K406" s="100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  <c r="AE406" s="73"/>
    </row>
    <row r="407">
      <c r="A407" s="73"/>
      <c r="B407" s="14"/>
      <c r="C407" s="14"/>
      <c r="D407" s="73"/>
      <c r="E407" s="73"/>
      <c r="F407" s="73"/>
      <c r="G407" s="73"/>
      <c r="H407" s="73"/>
      <c r="I407" s="73"/>
      <c r="J407" s="73"/>
      <c r="K407" s="100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</row>
    <row r="408">
      <c r="A408" s="73"/>
      <c r="B408" s="14"/>
      <c r="C408" s="14"/>
      <c r="D408" s="73"/>
      <c r="E408" s="73"/>
      <c r="F408" s="73"/>
      <c r="G408" s="73"/>
      <c r="H408" s="73"/>
      <c r="I408" s="73"/>
      <c r="J408" s="73"/>
      <c r="K408" s="100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  <c r="AE408" s="73"/>
    </row>
    <row r="409">
      <c r="A409" s="73"/>
      <c r="B409" s="14"/>
      <c r="C409" s="14"/>
      <c r="D409" s="73"/>
      <c r="E409" s="73"/>
      <c r="F409" s="73"/>
      <c r="G409" s="73"/>
      <c r="H409" s="73"/>
      <c r="I409" s="73"/>
      <c r="J409" s="73"/>
      <c r="K409" s="100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</row>
    <row r="410">
      <c r="A410" s="73"/>
      <c r="B410" s="14"/>
      <c r="C410" s="14"/>
      <c r="D410" s="73"/>
      <c r="E410" s="73"/>
      <c r="F410" s="73"/>
      <c r="G410" s="73"/>
      <c r="H410" s="73"/>
      <c r="I410" s="73"/>
      <c r="J410" s="73"/>
      <c r="K410" s="100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  <c r="AE410" s="73"/>
    </row>
    <row r="411">
      <c r="A411" s="73"/>
      <c r="B411" s="14"/>
      <c r="C411" s="14"/>
      <c r="D411" s="73"/>
      <c r="E411" s="73"/>
      <c r="F411" s="73"/>
      <c r="G411" s="73"/>
      <c r="H411" s="73"/>
      <c r="I411" s="73"/>
      <c r="J411" s="73"/>
      <c r="K411" s="100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</row>
    <row r="412">
      <c r="A412" s="73"/>
      <c r="B412" s="14"/>
      <c r="C412" s="14"/>
      <c r="D412" s="73"/>
      <c r="E412" s="73"/>
      <c r="F412" s="73"/>
      <c r="G412" s="73"/>
      <c r="H412" s="73"/>
      <c r="I412" s="73"/>
      <c r="J412" s="73"/>
      <c r="K412" s="100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  <c r="AE412" s="73"/>
    </row>
    <row r="413">
      <c r="A413" s="73"/>
      <c r="B413" s="14"/>
      <c r="C413" s="14"/>
      <c r="D413" s="73"/>
      <c r="E413" s="73"/>
      <c r="F413" s="73"/>
      <c r="G413" s="73"/>
      <c r="H413" s="73"/>
      <c r="I413" s="73"/>
      <c r="J413" s="73"/>
      <c r="K413" s="100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  <c r="AE413" s="73"/>
    </row>
    <row r="414">
      <c r="A414" s="73"/>
      <c r="B414" s="14"/>
      <c r="C414" s="14"/>
      <c r="D414" s="73"/>
      <c r="E414" s="73"/>
      <c r="F414" s="73"/>
      <c r="G414" s="73"/>
      <c r="H414" s="73"/>
      <c r="I414" s="73"/>
      <c r="J414" s="73"/>
      <c r="K414" s="100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</row>
    <row r="415">
      <c r="A415" s="73"/>
      <c r="B415" s="14"/>
      <c r="C415" s="14"/>
      <c r="D415" s="73"/>
      <c r="E415" s="73"/>
      <c r="F415" s="73"/>
      <c r="G415" s="73"/>
      <c r="H415" s="73"/>
      <c r="I415" s="73"/>
      <c r="J415" s="73"/>
      <c r="K415" s="100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  <c r="AE415" s="73"/>
    </row>
    <row r="416">
      <c r="A416" s="73"/>
      <c r="B416" s="14"/>
      <c r="C416" s="14"/>
      <c r="D416" s="73"/>
      <c r="E416" s="73"/>
      <c r="F416" s="73"/>
      <c r="G416" s="73"/>
      <c r="H416" s="73"/>
      <c r="I416" s="73"/>
      <c r="J416" s="73"/>
      <c r="K416" s="100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</row>
    <row r="417">
      <c r="A417" s="73"/>
      <c r="B417" s="14"/>
      <c r="C417" s="14"/>
      <c r="D417" s="73"/>
      <c r="E417" s="73"/>
      <c r="F417" s="73"/>
      <c r="G417" s="73"/>
      <c r="H417" s="73"/>
      <c r="I417" s="73"/>
      <c r="J417" s="73"/>
      <c r="K417" s="100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</row>
    <row r="418">
      <c r="A418" s="73"/>
      <c r="B418" s="14"/>
      <c r="C418" s="14"/>
      <c r="D418" s="73"/>
      <c r="E418" s="73"/>
      <c r="F418" s="73"/>
      <c r="G418" s="73"/>
      <c r="H418" s="73"/>
      <c r="I418" s="73"/>
      <c r="J418" s="73"/>
      <c r="K418" s="100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</row>
    <row r="419">
      <c r="A419" s="73"/>
      <c r="B419" s="14"/>
      <c r="C419" s="14"/>
      <c r="D419" s="73"/>
      <c r="E419" s="73"/>
      <c r="F419" s="73"/>
      <c r="G419" s="73"/>
      <c r="H419" s="73"/>
      <c r="I419" s="73"/>
      <c r="J419" s="73"/>
      <c r="K419" s="100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  <c r="AE419" s="73"/>
    </row>
    <row r="420">
      <c r="A420" s="73"/>
      <c r="B420" s="14"/>
      <c r="C420" s="14"/>
      <c r="D420" s="73"/>
      <c r="E420" s="73"/>
      <c r="F420" s="73"/>
      <c r="G420" s="73"/>
      <c r="H420" s="73"/>
      <c r="I420" s="73"/>
      <c r="J420" s="73"/>
      <c r="K420" s="100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  <c r="AE420" s="73"/>
    </row>
    <row r="421">
      <c r="A421" s="73"/>
      <c r="B421" s="14"/>
      <c r="C421" s="14"/>
      <c r="D421" s="73"/>
      <c r="E421" s="73"/>
      <c r="F421" s="73"/>
      <c r="G421" s="73"/>
      <c r="H421" s="73"/>
      <c r="I421" s="73"/>
      <c r="J421" s="73"/>
      <c r="K421" s="100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  <c r="AE421" s="73"/>
    </row>
    <row r="422">
      <c r="A422" s="73"/>
      <c r="B422" s="14"/>
      <c r="C422" s="14"/>
      <c r="D422" s="73"/>
      <c r="E422" s="73"/>
      <c r="F422" s="73"/>
      <c r="G422" s="73"/>
      <c r="H422" s="73"/>
      <c r="I422" s="73"/>
      <c r="J422" s="73"/>
      <c r="K422" s="100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</row>
    <row r="423">
      <c r="A423" s="73"/>
      <c r="B423" s="14"/>
      <c r="C423" s="14"/>
      <c r="D423" s="73"/>
      <c r="E423" s="73"/>
      <c r="F423" s="73"/>
      <c r="G423" s="73"/>
      <c r="H423" s="73"/>
      <c r="I423" s="73"/>
      <c r="J423" s="73"/>
      <c r="K423" s="100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  <c r="AE423" s="73"/>
    </row>
    <row r="424">
      <c r="A424" s="73"/>
      <c r="B424" s="14"/>
      <c r="C424" s="14"/>
      <c r="D424" s="73"/>
      <c r="E424" s="73"/>
      <c r="F424" s="73"/>
      <c r="G424" s="73"/>
      <c r="H424" s="73"/>
      <c r="I424" s="73"/>
      <c r="J424" s="73"/>
      <c r="K424" s="100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</row>
    <row r="425">
      <c r="A425" s="73"/>
      <c r="B425" s="14"/>
      <c r="C425" s="14"/>
      <c r="D425" s="73"/>
      <c r="E425" s="73"/>
      <c r="F425" s="73"/>
      <c r="G425" s="73"/>
      <c r="H425" s="73"/>
      <c r="I425" s="73"/>
      <c r="J425" s="73"/>
      <c r="K425" s="100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  <c r="AE425" s="73"/>
    </row>
    <row r="426">
      <c r="A426" s="73"/>
      <c r="B426" s="14"/>
      <c r="C426" s="14"/>
      <c r="D426" s="73"/>
      <c r="E426" s="73"/>
      <c r="F426" s="73"/>
      <c r="G426" s="73"/>
      <c r="H426" s="73"/>
      <c r="I426" s="73"/>
      <c r="J426" s="73"/>
      <c r="K426" s="100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  <c r="AE426" s="73"/>
    </row>
    <row r="427">
      <c r="A427" s="73"/>
      <c r="B427" s="14"/>
      <c r="C427" s="14"/>
      <c r="D427" s="73"/>
      <c r="E427" s="73"/>
      <c r="F427" s="73"/>
      <c r="G427" s="73"/>
      <c r="H427" s="73"/>
      <c r="I427" s="73"/>
      <c r="J427" s="73"/>
      <c r="K427" s="100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  <c r="AE427" s="73"/>
    </row>
    <row r="428">
      <c r="A428" s="73"/>
      <c r="B428" s="14"/>
      <c r="C428" s="14"/>
      <c r="D428" s="73"/>
      <c r="E428" s="73"/>
      <c r="F428" s="73"/>
      <c r="G428" s="73"/>
      <c r="H428" s="73"/>
      <c r="I428" s="73"/>
      <c r="J428" s="73"/>
      <c r="K428" s="100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  <c r="AE428" s="73"/>
    </row>
    <row r="429">
      <c r="A429" s="73"/>
      <c r="B429" s="14"/>
      <c r="C429" s="14"/>
      <c r="D429" s="73"/>
      <c r="E429" s="73"/>
      <c r="F429" s="73"/>
      <c r="G429" s="73"/>
      <c r="H429" s="73"/>
      <c r="I429" s="73"/>
      <c r="J429" s="73"/>
      <c r="K429" s="100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</row>
    <row r="430">
      <c r="A430" s="73"/>
      <c r="B430" s="14"/>
      <c r="C430" s="14"/>
      <c r="D430" s="73"/>
      <c r="E430" s="73"/>
      <c r="F430" s="73"/>
      <c r="G430" s="73"/>
      <c r="H430" s="73"/>
      <c r="I430" s="73"/>
      <c r="J430" s="73"/>
      <c r="K430" s="100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  <c r="AE430" s="73"/>
    </row>
    <row r="431">
      <c r="A431" s="73"/>
      <c r="B431" s="14"/>
      <c r="C431" s="14"/>
      <c r="D431" s="73"/>
      <c r="E431" s="73"/>
      <c r="F431" s="73"/>
      <c r="G431" s="73"/>
      <c r="H431" s="73"/>
      <c r="I431" s="73"/>
      <c r="J431" s="73"/>
      <c r="K431" s="100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  <c r="AE431" s="73"/>
    </row>
    <row r="432">
      <c r="A432" s="73"/>
      <c r="B432" s="14"/>
      <c r="C432" s="14"/>
      <c r="D432" s="73"/>
      <c r="E432" s="73"/>
      <c r="F432" s="73"/>
      <c r="G432" s="73"/>
      <c r="H432" s="73"/>
      <c r="I432" s="73"/>
      <c r="J432" s="73"/>
      <c r="K432" s="100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  <c r="AE432" s="73"/>
    </row>
    <row r="433">
      <c r="A433" s="73"/>
      <c r="B433" s="14"/>
      <c r="C433" s="14"/>
      <c r="D433" s="73"/>
      <c r="E433" s="73"/>
      <c r="F433" s="73"/>
      <c r="G433" s="73"/>
      <c r="H433" s="73"/>
      <c r="I433" s="73"/>
      <c r="J433" s="73"/>
      <c r="K433" s="100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  <c r="AE433" s="73"/>
    </row>
    <row r="434">
      <c r="A434" s="73"/>
      <c r="B434" s="14"/>
      <c r="C434" s="14"/>
      <c r="D434" s="73"/>
      <c r="E434" s="73"/>
      <c r="F434" s="73"/>
      <c r="G434" s="73"/>
      <c r="H434" s="73"/>
      <c r="I434" s="73"/>
      <c r="J434" s="73"/>
      <c r="K434" s="100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</row>
    <row r="435">
      <c r="A435" s="73"/>
      <c r="B435" s="14"/>
      <c r="C435" s="14"/>
      <c r="D435" s="73"/>
      <c r="E435" s="73"/>
      <c r="F435" s="73"/>
      <c r="G435" s="73"/>
      <c r="H435" s="73"/>
      <c r="I435" s="73"/>
      <c r="J435" s="73"/>
      <c r="K435" s="100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  <c r="AE435" s="73"/>
    </row>
    <row r="436">
      <c r="A436" s="73"/>
      <c r="B436" s="14"/>
      <c r="C436" s="14"/>
      <c r="D436" s="73"/>
      <c r="E436" s="73"/>
      <c r="F436" s="73"/>
      <c r="G436" s="73"/>
      <c r="H436" s="73"/>
      <c r="I436" s="73"/>
      <c r="J436" s="73"/>
      <c r="K436" s="100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</row>
    <row r="437">
      <c r="A437" s="73"/>
      <c r="B437" s="14"/>
      <c r="C437" s="14"/>
      <c r="D437" s="73"/>
      <c r="E437" s="73"/>
      <c r="F437" s="73"/>
      <c r="G437" s="73"/>
      <c r="H437" s="73"/>
      <c r="I437" s="73"/>
      <c r="J437" s="73"/>
      <c r="K437" s="100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  <c r="AE437" s="73"/>
    </row>
    <row r="438">
      <c r="A438" s="73"/>
      <c r="B438" s="14"/>
      <c r="C438" s="14"/>
      <c r="D438" s="73"/>
      <c r="E438" s="73"/>
      <c r="F438" s="73"/>
      <c r="G438" s="73"/>
      <c r="H438" s="73"/>
      <c r="I438" s="73"/>
      <c r="J438" s="73"/>
      <c r="K438" s="100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  <c r="AE438" s="73"/>
    </row>
    <row r="439">
      <c r="A439" s="73"/>
      <c r="B439" s="14"/>
      <c r="C439" s="14"/>
      <c r="D439" s="73"/>
      <c r="E439" s="73"/>
      <c r="F439" s="73"/>
      <c r="G439" s="73"/>
      <c r="H439" s="73"/>
      <c r="I439" s="73"/>
      <c r="J439" s="73"/>
      <c r="K439" s="100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</row>
    <row r="440">
      <c r="A440" s="73"/>
      <c r="B440" s="14"/>
      <c r="C440" s="14"/>
      <c r="D440" s="73"/>
      <c r="E440" s="73"/>
      <c r="F440" s="73"/>
      <c r="G440" s="73"/>
      <c r="H440" s="73"/>
      <c r="I440" s="73"/>
      <c r="J440" s="73"/>
      <c r="K440" s="100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  <c r="AE440" s="73"/>
    </row>
    <row r="441">
      <c r="A441" s="73"/>
      <c r="B441" s="14"/>
      <c r="C441" s="14"/>
      <c r="D441" s="73"/>
      <c r="E441" s="73"/>
      <c r="F441" s="73"/>
      <c r="G441" s="73"/>
      <c r="H441" s="73"/>
      <c r="I441" s="73"/>
      <c r="J441" s="73"/>
      <c r="K441" s="100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  <c r="AE441" s="73"/>
    </row>
    <row r="442">
      <c r="A442" s="73"/>
      <c r="B442" s="14"/>
      <c r="C442" s="14"/>
      <c r="D442" s="73"/>
      <c r="E442" s="73"/>
      <c r="F442" s="73"/>
      <c r="G442" s="73"/>
      <c r="H442" s="73"/>
      <c r="I442" s="73"/>
      <c r="J442" s="73"/>
      <c r="K442" s="100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  <c r="AE442" s="73"/>
    </row>
    <row r="443">
      <c r="A443" s="73"/>
      <c r="B443" s="14"/>
      <c r="C443" s="14"/>
      <c r="D443" s="73"/>
      <c r="E443" s="73"/>
      <c r="F443" s="73"/>
      <c r="G443" s="73"/>
      <c r="H443" s="73"/>
      <c r="I443" s="73"/>
      <c r="J443" s="73"/>
      <c r="K443" s="100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  <c r="AE443" s="73"/>
    </row>
    <row r="444">
      <c r="A444" s="73"/>
      <c r="B444" s="14"/>
      <c r="C444" s="14"/>
      <c r="D444" s="73"/>
      <c r="E444" s="73"/>
      <c r="F444" s="73"/>
      <c r="G444" s="73"/>
      <c r="H444" s="73"/>
      <c r="I444" s="73"/>
      <c r="J444" s="73"/>
      <c r="K444" s="100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</row>
    <row r="445">
      <c r="A445" s="73"/>
      <c r="B445" s="14"/>
      <c r="C445" s="14"/>
      <c r="D445" s="73"/>
      <c r="E445" s="73"/>
      <c r="F445" s="73"/>
      <c r="G445" s="73"/>
      <c r="H445" s="73"/>
      <c r="I445" s="73"/>
      <c r="J445" s="73"/>
      <c r="K445" s="100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  <c r="AE445" s="73"/>
    </row>
    <row r="446">
      <c r="A446" s="73"/>
      <c r="B446" s="14"/>
      <c r="C446" s="14"/>
      <c r="D446" s="73"/>
      <c r="E446" s="73"/>
      <c r="F446" s="73"/>
      <c r="G446" s="73"/>
      <c r="H446" s="73"/>
      <c r="I446" s="73"/>
      <c r="J446" s="73"/>
      <c r="K446" s="100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  <c r="AE446" s="73"/>
    </row>
    <row r="447">
      <c r="A447" s="73"/>
      <c r="B447" s="14"/>
      <c r="C447" s="14"/>
      <c r="D447" s="73"/>
      <c r="E447" s="73"/>
      <c r="F447" s="73"/>
      <c r="G447" s="73"/>
      <c r="H447" s="73"/>
      <c r="I447" s="73"/>
      <c r="J447" s="73"/>
      <c r="K447" s="100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</row>
    <row r="448">
      <c r="A448" s="73"/>
      <c r="B448" s="14"/>
      <c r="C448" s="14"/>
      <c r="D448" s="73"/>
      <c r="E448" s="73"/>
      <c r="F448" s="73"/>
      <c r="G448" s="73"/>
      <c r="H448" s="73"/>
      <c r="I448" s="73"/>
      <c r="J448" s="73"/>
      <c r="K448" s="100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</row>
    <row r="449">
      <c r="A449" s="73"/>
      <c r="B449" s="14"/>
      <c r="C449" s="14"/>
      <c r="D449" s="73"/>
      <c r="E449" s="73"/>
      <c r="F449" s="73"/>
      <c r="G449" s="73"/>
      <c r="H449" s="73"/>
      <c r="I449" s="73"/>
      <c r="J449" s="73"/>
      <c r="K449" s="100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</row>
    <row r="450">
      <c r="A450" s="73"/>
      <c r="B450" s="14"/>
      <c r="C450" s="14"/>
      <c r="D450" s="73"/>
      <c r="E450" s="73"/>
      <c r="F450" s="73"/>
      <c r="G450" s="73"/>
      <c r="H450" s="73"/>
      <c r="I450" s="73"/>
      <c r="J450" s="73"/>
      <c r="K450" s="100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</row>
    <row r="451">
      <c r="A451" s="73"/>
      <c r="B451" s="14"/>
      <c r="C451" s="14"/>
      <c r="D451" s="73"/>
      <c r="E451" s="73"/>
      <c r="F451" s="73"/>
      <c r="G451" s="73"/>
      <c r="H451" s="73"/>
      <c r="I451" s="73"/>
      <c r="J451" s="73"/>
      <c r="K451" s="100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  <c r="AE451" s="73"/>
    </row>
    <row r="452">
      <c r="A452" s="73"/>
      <c r="B452" s="14"/>
      <c r="C452" s="14"/>
      <c r="D452" s="73"/>
      <c r="E452" s="73"/>
      <c r="F452" s="73"/>
      <c r="G452" s="73"/>
      <c r="H452" s="73"/>
      <c r="I452" s="73"/>
      <c r="J452" s="73"/>
      <c r="K452" s="100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</row>
    <row r="453">
      <c r="A453" s="73"/>
      <c r="B453" s="14"/>
      <c r="C453" s="14"/>
      <c r="D453" s="73"/>
      <c r="E453" s="73"/>
      <c r="F453" s="73"/>
      <c r="G453" s="73"/>
      <c r="H453" s="73"/>
      <c r="I453" s="73"/>
      <c r="J453" s="73"/>
      <c r="K453" s="100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</row>
    <row r="454">
      <c r="A454" s="73"/>
      <c r="B454" s="14"/>
      <c r="C454" s="14"/>
      <c r="D454" s="73"/>
      <c r="E454" s="73"/>
      <c r="F454" s="73"/>
      <c r="G454" s="73"/>
      <c r="H454" s="73"/>
      <c r="I454" s="73"/>
      <c r="J454" s="73"/>
      <c r="K454" s="100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</row>
    <row r="455">
      <c r="A455" s="73"/>
      <c r="B455" s="14"/>
      <c r="C455" s="14"/>
      <c r="D455" s="73"/>
      <c r="E455" s="73"/>
      <c r="F455" s="73"/>
      <c r="G455" s="73"/>
      <c r="H455" s="73"/>
      <c r="I455" s="73"/>
      <c r="J455" s="73"/>
      <c r="K455" s="100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</row>
    <row r="456">
      <c r="A456" s="73"/>
      <c r="B456" s="14"/>
      <c r="C456" s="14"/>
      <c r="D456" s="73"/>
      <c r="E456" s="73"/>
      <c r="F456" s="73"/>
      <c r="G456" s="73"/>
      <c r="H456" s="73"/>
      <c r="I456" s="73"/>
      <c r="J456" s="73"/>
      <c r="K456" s="100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</row>
    <row r="457">
      <c r="A457" s="73"/>
      <c r="B457" s="14"/>
      <c r="C457" s="14"/>
      <c r="D457" s="73"/>
      <c r="E457" s="73"/>
      <c r="F457" s="73"/>
      <c r="G457" s="73"/>
      <c r="H457" s="73"/>
      <c r="I457" s="73"/>
      <c r="J457" s="73"/>
      <c r="K457" s="100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  <c r="AE457" s="73"/>
    </row>
    <row r="458">
      <c r="A458" s="73"/>
      <c r="B458" s="14"/>
      <c r="C458" s="14"/>
      <c r="D458" s="73"/>
      <c r="E458" s="73"/>
      <c r="F458" s="73"/>
      <c r="G458" s="73"/>
      <c r="H458" s="73"/>
      <c r="I458" s="73"/>
      <c r="J458" s="73"/>
      <c r="K458" s="100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</row>
    <row r="459">
      <c r="A459" s="73"/>
      <c r="B459" s="14"/>
      <c r="C459" s="14"/>
      <c r="D459" s="73"/>
      <c r="E459" s="73"/>
      <c r="F459" s="73"/>
      <c r="G459" s="73"/>
      <c r="H459" s="73"/>
      <c r="I459" s="73"/>
      <c r="J459" s="73"/>
      <c r="K459" s="100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</row>
    <row r="460">
      <c r="A460" s="73"/>
      <c r="B460" s="14"/>
      <c r="C460" s="14"/>
      <c r="D460" s="73"/>
      <c r="E460" s="73"/>
      <c r="F460" s="73"/>
      <c r="G460" s="73"/>
      <c r="H460" s="73"/>
      <c r="I460" s="73"/>
      <c r="J460" s="73"/>
      <c r="K460" s="100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  <c r="AE460" s="73"/>
    </row>
    <row r="461">
      <c r="A461" s="73"/>
      <c r="B461" s="14"/>
      <c r="C461" s="14"/>
      <c r="D461" s="73"/>
      <c r="E461" s="73"/>
      <c r="F461" s="73"/>
      <c r="G461" s="73"/>
      <c r="H461" s="73"/>
      <c r="I461" s="73"/>
      <c r="J461" s="73"/>
      <c r="K461" s="100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</row>
    <row r="462">
      <c r="A462" s="73"/>
      <c r="B462" s="14"/>
      <c r="C462" s="14"/>
      <c r="D462" s="73"/>
      <c r="E462" s="73"/>
      <c r="F462" s="73"/>
      <c r="G462" s="73"/>
      <c r="H462" s="73"/>
      <c r="I462" s="73"/>
      <c r="J462" s="73"/>
      <c r="K462" s="100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</row>
    <row r="463">
      <c r="A463" s="73"/>
      <c r="B463" s="14"/>
      <c r="C463" s="14"/>
      <c r="D463" s="73"/>
      <c r="E463" s="73"/>
      <c r="F463" s="73"/>
      <c r="G463" s="73"/>
      <c r="H463" s="73"/>
      <c r="I463" s="73"/>
      <c r="J463" s="73"/>
      <c r="K463" s="100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</row>
    <row r="464">
      <c r="A464" s="73"/>
      <c r="B464" s="14"/>
      <c r="C464" s="14"/>
      <c r="D464" s="73"/>
      <c r="E464" s="73"/>
      <c r="F464" s="73"/>
      <c r="G464" s="73"/>
      <c r="H464" s="73"/>
      <c r="I464" s="73"/>
      <c r="J464" s="73"/>
      <c r="K464" s="100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</row>
    <row r="465">
      <c r="A465" s="73"/>
      <c r="B465" s="14"/>
      <c r="C465" s="14"/>
      <c r="D465" s="73"/>
      <c r="E465" s="73"/>
      <c r="F465" s="73"/>
      <c r="G465" s="73"/>
      <c r="H465" s="73"/>
      <c r="I465" s="73"/>
      <c r="J465" s="73"/>
      <c r="K465" s="100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</row>
    <row r="466">
      <c r="A466" s="73"/>
      <c r="B466" s="14"/>
      <c r="C466" s="14"/>
      <c r="D466" s="73"/>
      <c r="E466" s="73"/>
      <c r="F466" s="73"/>
      <c r="G466" s="73"/>
      <c r="H466" s="73"/>
      <c r="I466" s="73"/>
      <c r="J466" s="73"/>
      <c r="K466" s="100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</row>
    <row r="467">
      <c r="A467" s="73"/>
      <c r="B467" s="14"/>
      <c r="C467" s="14"/>
      <c r="D467" s="73"/>
      <c r="E467" s="73"/>
      <c r="F467" s="73"/>
      <c r="G467" s="73"/>
      <c r="H467" s="73"/>
      <c r="I467" s="73"/>
      <c r="J467" s="73"/>
      <c r="K467" s="100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</row>
    <row r="468">
      <c r="A468" s="73"/>
      <c r="B468" s="14"/>
      <c r="C468" s="14"/>
      <c r="D468" s="73"/>
      <c r="E468" s="73"/>
      <c r="F468" s="73"/>
      <c r="G468" s="73"/>
      <c r="H468" s="73"/>
      <c r="I468" s="73"/>
      <c r="J468" s="73"/>
      <c r="K468" s="100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</row>
    <row r="469">
      <c r="A469" s="73"/>
      <c r="B469" s="14"/>
      <c r="C469" s="14"/>
      <c r="D469" s="73"/>
      <c r="E469" s="73"/>
      <c r="F469" s="73"/>
      <c r="G469" s="73"/>
      <c r="H469" s="73"/>
      <c r="I469" s="73"/>
      <c r="J469" s="73"/>
      <c r="K469" s="100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</row>
    <row r="470">
      <c r="A470" s="73"/>
      <c r="B470" s="14"/>
      <c r="C470" s="14"/>
      <c r="D470" s="73"/>
      <c r="E470" s="73"/>
      <c r="F470" s="73"/>
      <c r="G470" s="73"/>
      <c r="H470" s="73"/>
      <c r="I470" s="73"/>
      <c r="J470" s="73"/>
      <c r="K470" s="100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</row>
    <row r="471">
      <c r="A471" s="73"/>
      <c r="B471" s="14"/>
      <c r="C471" s="14"/>
      <c r="D471" s="73"/>
      <c r="E471" s="73"/>
      <c r="F471" s="73"/>
      <c r="G471" s="73"/>
      <c r="H471" s="73"/>
      <c r="I471" s="73"/>
      <c r="J471" s="73"/>
      <c r="K471" s="100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</row>
    <row r="472">
      <c r="A472" s="73"/>
      <c r="B472" s="14"/>
      <c r="C472" s="14"/>
      <c r="D472" s="73"/>
      <c r="E472" s="73"/>
      <c r="F472" s="73"/>
      <c r="G472" s="73"/>
      <c r="H472" s="73"/>
      <c r="I472" s="73"/>
      <c r="J472" s="73"/>
      <c r="K472" s="100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</row>
    <row r="473">
      <c r="A473" s="73"/>
      <c r="B473" s="14"/>
      <c r="C473" s="14"/>
      <c r="D473" s="73"/>
      <c r="E473" s="73"/>
      <c r="F473" s="73"/>
      <c r="G473" s="73"/>
      <c r="H473" s="73"/>
      <c r="I473" s="73"/>
      <c r="J473" s="73"/>
      <c r="K473" s="100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</row>
    <row r="474">
      <c r="A474" s="73"/>
      <c r="B474" s="14"/>
      <c r="C474" s="14"/>
      <c r="D474" s="73"/>
      <c r="E474" s="73"/>
      <c r="F474" s="73"/>
      <c r="G474" s="73"/>
      <c r="H474" s="73"/>
      <c r="I474" s="73"/>
      <c r="J474" s="73"/>
      <c r="K474" s="100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</row>
    <row r="475">
      <c r="A475" s="73"/>
      <c r="B475" s="14"/>
      <c r="C475" s="14"/>
      <c r="D475" s="73"/>
      <c r="E475" s="73"/>
      <c r="F475" s="73"/>
      <c r="G475" s="73"/>
      <c r="H475" s="73"/>
      <c r="I475" s="73"/>
      <c r="J475" s="73"/>
      <c r="K475" s="100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</row>
    <row r="476">
      <c r="A476" s="73"/>
      <c r="B476" s="14"/>
      <c r="C476" s="14"/>
      <c r="D476" s="73"/>
      <c r="E476" s="73"/>
      <c r="F476" s="73"/>
      <c r="G476" s="73"/>
      <c r="H476" s="73"/>
      <c r="I476" s="73"/>
      <c r="J476" s="73"/>
      <c r="K476" s="100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</row>
    <row r="477">
      <c r="A477" s="73"/>
      <c r="B477" s="14"/>
      <c r="C477" s="14"/>
      <c r="D477" s="73"/>
      <c r="E477" s="73"/>
      <c r="F477" s="73"/>
      <c r="G477" s="73"/>
      <c r="H477" s="73"/>
      <c r="I477" s="73"/>
      <c r="J477" s="73"/>
      <c r="K477" s="100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</row>
    <row r="478">
      <c r="A478" s="73"/>
      <c r="B478" s="14"/>
      <c r="C478" s="14"/>
      <c r="D478" s="73"/>
      <c r="E478" s="73"/>
      <c r="F478" s="73"/>
      <c r="G478" s="73"/>
      <c r="H478" s="73"/>
      <c r="I478" s="73"/>
      <c r="J478" s="73"/>
      <c r="K478" s="100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</row>
    <row r="479">
      <c r="A479" s="73"/>
      <c r="B479" s="14"/>
      <c r="C479" s="14"/>
      <c r="D479" s="73"/>
      <c r="E479" s="73"/>
      <c r="F479" s="73"/>
      <c r="G479" s="73"/>
      <c r="H479" s="73"/>
      <c r="I479" s="73"/>
      <c r="J479" s="73"/>
      <c r="K479" s="100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</row>
    <row r="480">
      <c r="A480" s="73"/>
      <c r="B480" s="14"/>
      <c r="C480" s="14"/>
      <c r="D480" s="73"/>
      <c r="E480" s="73"/>
      <c r="F480" s="73"/>
      <c r="G480" s="73"/>
      <c r="H480" s="73"/>
      <c r="I480" s="73"/>
      <c r="J480" s="73"/>
      <c r="K480" s="100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</row>
    <row r="481">
      <c r="A481" s="73"/>
      <c r="B481" s="14"/>
      <c r="C481" s="14"/>
      <c r="D481" s="73"/>
      <c r="E481" s="73"/>
      <c r="F481" s="73"/>
      <c r="G481" s="73"/>
      <c r="H481" s="73"/>
      <c r="I481" s="73"/>
      <c r="J481" s="73"/>
      <c r="K481" s="100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</row>
    <row r="482">
      <c r="A482" s="73"/>
      <c r="B482" s="14"/>
      <c r="C482" s="14"/>
      <c r="D482" s="73"/>
      <c r="E482" s="73"/>
      <c r="F482" s="73"/>
      <c r="G482" s="73"/>
      <c r="H482" s="73"/>
      <c r="I482" s="73"/>
      <c r="J482" s="73"/>
      <c r="K482" s="100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</row>
    <row r="483">
      <c r="A483" s="73"/>
      <c r="B483" s="14"/>
      <c r="C483" s="14"/>
      <c r="D483" s="73"/>
      <c r="E483" s="73"/>
      <c r="F483" s="73"/>
      <c r="G483" s="73"/>
      <c r="H483" s="73"/>
      <c r="I483" s="73"/>
      <c r="J483" s="73"/>
      <c r="K483" s="100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</row>
    <row r="484">
      <c r="A484" s="73"/>
      <c r="B484" s="14"/>
      <c r="C484" s="14"/>
      <c r="D484" s="73"/>
      <c r="E484" s="73"/>
      <c r="F484" s="73"/>
      <c r="G484" s="73"/>
      <c r="H484" s="73"/>
      <c r="I484" s="73"/>
      <c r="J484" s="73"/>
      <c r="K484" s="100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</row>
    <row r="485">
      <c r="A485" s="73"/>
      <c r="B485" s="14"/>
      <c r="C485" s="14"/>
      <c r="D485" s="73"/>
      <c r="E485" s="73"/>
      <c r="F485" s="73"/>
      <c r="G485" s="73"/>
      <c r="H485" s="73"/>
      <c r="I485" s="73"/>
      <c r="J485" s="73"/>
      <c r="K485" s="100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</row>
    <row r="486">
      <c r="A486" s="73"/>
      <c r="B486" s="14"/>
      <c r="C486" s="14"/>
      <c r="D486" s="73"/>
      <c r="E486" s="73"/>
      <c r="F486" s="73"/>
      <c r="G486" s="73"/>
      <c r="H486" s="73"/>
      <c r="I486" s="73"/>
      <c r="J486" s="73"/>
      <c r="K486" s="100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</row>
    <row r="487">
      <c r="A487" s="73"/>
      <c r="B487" s="14"/>
      <c r="C487" s="14"/>
      <c r="D487" s="73"/>
      <c r="E487" s="73"/>
      <c r="F487" s="73"/>
      <c r="G487" s="73"/>
      <c r="H487" s="73"/>
      <c r="I487" s="73"/>
      <c r="J487" s="73"/>
      <c r="K487" s="100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</row>
    <row r="488">
      <c r="A488" s="73"/>
      <c r="B488" s="14"/>
      <c r="C488" s="14"/>
      <c r="D488" s="73"/>
      <c r="E488" s="73"/>
      <c r="F488" s="73"/>
      <c r="G488" s="73"/>
      <c r="H488" s="73"/>
      <c r="I488" s="73"/>
      <c r="J488" s="73"/>
      <c r="K488" s="100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</row>
    <row r="489">
      <c r="A489" s="73"/>
      <c r="B489" s="14"/>
      <c r="C489" s="14"/>
      <c r="D489" s="73"/>
      <c r="E489" s="73"/>
      <c r="F489" s="73"/>
      <c r="G489" s="73"/>
      <c r="H489" s="73"/>
      <c r="I489" s="73"/>
      <c r="J489" s="73"/>
      <c r="K489" s="100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</row>
    <row r="490">
      <c r="A490" s="73"/>
      <c r="B490" s="14"/>
      <c r="C490" s="14"/>
      <c r="D490" s="73"/>
      <c r="E490" s="73"/>
      <c r="F490" s="73"/>
      <c r="G490" s="73"/>
      <c r="H490" s="73"/>
      <c r="I490" s="73"/>
      <c r="J490" s="73"/>
      <c r="K490" s="100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  <c r="AE490" s="73"/>
    </row>
    <row r="491">
      <c r="A491" s="73"/>
      <c r="B491" s="14"/>
      <c r="C491" s="14"/>
      <c r="D491" s="73"/>
      <c r="E491" s="73"/>
      <c r="F491" s="73"/>
      <c r="G491" s="73"/>
      <c r="H491" s="73"/>
      <c r="I491" s="73"/>
      <c r="J491" s="73"/>
      <c r="K491" s="100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  <c r="AE491" s="73"/>
    </row>
    <row r="492">
      <c r="A492" s="73"/>
      <c r="B492" s="14"/>
      <c r="C492" s="14"/>
      <c r="D492" s="73"/>
      <c r="E492" s="73"/>
      <c r="F492" s="73"/>
      <c r="G492" s="73"/>
      <c r="H492" s="73"/>
      <c r="I492" s="73"/>
      <c r="J492" s="73"/>
      <c r="K492" s="100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  <c r="AE492" s="73"/>
    </row>
    <row r="493">
      <c r="A493" s="73"/>
      <c r="B493" s="14"/>
      <c r="C493" s="14"/>
      <c r="D493" s="73"/>
      <c r="E493" s="73"/>
      <c r="F493" s="73"/>
      <c r="G493" s="73"/>
      <c r="H493" s="73"/>
      <c r="I493" s="73"/>
      <c r="J493" s="73"/>
      <c r="K493" s="100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  <c r="AE493" s="73"/>
    </row>
    <row r="494">
      <c r="A494" s="73"/>
      <c r="B494" s="14"/>
      <c r="C494" s="14"/>
      <c r="D494" s="73"/>
      <c r="E494" s="73"/>
      <c r="F494" s="73"/>
      <c r="G494" s="73"/>
      <c r="H494" s="73"/>
      <c r="I494" s="73"/>
      <c r="J494" s="73"/>
      <c r="K494" s="100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</row>
    <row r="495">
      <c r="A495" s="73"/>
      <c r="B495" s="14"/>
      <c r="C495" s="14"/>
      <c r="D495" s="73"/>
      <c r="E495" s="73"/>
      <c r="F495" s="73"/>
      <c r="G495" s="73"/>
      <c r="H495" s="73"/>
      <c r="I495" s="73"/>
      <c r="J495" s="73"/>
      <c r="K495" s="100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</row>
    <row r="496">
      <c r="A496" s="73"/>
      <c r="B496" s="14"/>
      <c r="C496" s="14"/>
      <c r="D496" s="73"/>
      <c r="E496" s="73"/>
      <c r="F496" s="73"/>
      <c r="G496" s="73"/>
      <c r="H496" s="73"/>
      <c r="I496" s="73"/>
      <c r="J496" s="73"/>
      <c r="K496" s="100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  <c r="AE496" s="73"/>
    </row>
    <row r="497">
      <c r="A497" s="73"/>
      <c r="B497" s="14"/>
      <c r="C497" s="14"/>
      <c r="D497" s="73"/>
      <c r="E497" s="73"/>
      <c r="F497" s="73"/>
      <c r="G497" s="73"/>
      <c r="H497" s="73"/>
      <c r="I497" s="73"/>
      <c r="J497" s="73"/>
      <c r="K497" s="100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  <c r="AE497" s="73"/>
    </row>
    <row r="498">
      <c r="A498" s="73"/>
      <c r="B498" s="14"/>
      <c r="C498" s="14"/>
      <c r="D498" s="73"/>
      <c r="E498" s="73"/>
      <c r="F498" s="73"/>
      <c r="G498" s="73"/>
      <c r="H498" s="73"/>
      <c r="I498" s="73"/>
      <c r="J498" s="73"/>
      <c r="K498" s="100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</row>
    <row r="499">
      <c r="A499" s="73"/>
      <c r="B499" s="14"/>
      <c r="C499" s="14"/>
      <c r="D499" s="73"/>
      <c r="E499" s="73"/>
      <c r="F499" s="73"/>
      <c r="G499" s="73"/>
      <c r="H499" s="73"/>
      <c r="I499" s="73"/>
      <c r="J499" s="73"/>
      <c r="K499" s="100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</row>
    <row r="500">
      <c r="A500" s="73"/>
      <c r="B500" s="14"/>
      <c r="C500" s="14"/>
      <c r="D500" s="73"/>
      <c r="E500" s="73"/>
      <c r="F500" s="73"/>
      <c r="G500" s="73"/>
      <c r="H500" s="73"/>
      <c r="I500" s="73"/>
      <c r="J500" s="73"/>
      <c r="K500" s="100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  <c r="AE500" s="73"/>
    </row>
    <row r="501">
      <c r="A501" s="73"/>
      <c r="B501" s="14"/>
      <c r="C501" s="14"/>
      <c r="D501" s="73"/>
      <c r="E501" s="73"/>
      <c r="F501" s="73"/>
      <c r="G501" s="73"/>
      <c r="H501" s="73"/>
      <c r="I501" s="73"/>
      <c r="J501" s="73"/>
      <c r="K501" s="100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</row>
    <row r="502">
      <c r="A502" s="73"/>
      <c r="B502" s="14"/>
      <c r="C502" s="14"/>
      <c r="D502" s="73"/>
      <c r="E502" s="73"/>
      <c r="F502" s="73"/>
      <c r="G502" s="73"/>
      <c r="H502" s="73"/>
      <c r="I502" s="73"/>
      <c r="J502" s="73"/>
      <c r="K502" s="100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  <c r="AE502" s="73"/>
    </row>
    <row r="503">
      <c r="A503" s="73"/>
      <c r="B503" s="14"/>
      <c r="C503" s="14"/>
      <c r="D503" s="73"/>
      <c r="E503" s="73"/>
      <c r="F503" s="73"/>
      <c r="G503" s="73"/>
      <c r="H503" s="73"/>
      <c r="I503" s="73"/>
      <c r="J503" s="73"/>
      <c r="K503" s="100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  <c r="AE503" s="73"/>
    </row>
    <row r="504">
      <c r="A504" s="73"/>
      <c r="B504" s="14"/>
      <c r="C504" s="14"/>
      <c r="D504" s="73"/>
      <c r="E504" s="73"/>
      <c r="F504" s="73"/>
      <c r="G504" s="73"/>
      <c r="H504" s="73"/>
      <c r="I504" s="73"/>
      <c r="J504" s="73"/>
      <c r="K504" s="100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  <c r="AE504" s="73"/>
    </row>
    <row r="505">
      <c r="A505" s="73"/>
      <c r="B505" s="14"/>
      <c r="C505" s="14"/>
      <c r="D505" s="73"/>
      <c r="E505" s="73"/>
      <c r="F505" s="73"/>
      <c r="G505" s="73"/>
      <c r="H505" s="73"/>
      <c r="I505" s="73"/>
      <c r="J505" s="73"/>
      <c r="K505" s="100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  <c r="AE505" s="73"/>
    </row>
    <row r="506">
      <c r="A506" s="73"/>
      <c r="B506" s="14"/>
      <c r="C506" s="14"/>
      <c r="D506" s="73"/>
      <c r="E506" s="73"/>
      <c r="F506" s="73"/>
      <c r="G506" s="73"/>
      <c r="H506" s="73"/>
      <c r="I506" s="73"/>
      <c r="J506" s="73"/>
      <c r="K506" s="100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  <c r="AE506" s="73"/>
    </row>
    <row r="507">
      <c r="A507" s="73"/>
      <c r="B507" s="14"/>
      <c r="C507" s="14"/>
      <c r="D507" s="73"/>
      <c r="E507" s="73"/>
      <c r="F507" s="73"/>
      <c r="G507" s="73"/>
      <c r="H507" s="73"/>
      <c r="I507" s="73"/>
      <c r="J507" s="73"/>
      <c r="K507" s="100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</row>
    <row r="508">
      <c r="A508" s="73"/>
      <c r="B508" s="14"/>
      <c r="C508" s="14"/>
      <c r="D508" s="73"/>
      <c r="E508" s="73"/>
      <c r="F508" s="73"/>
      <c r="G508" s="73"/>
      <c r="H508" s="73"/>
      <c r="I508" s="73"/>
      <c r="J508" s="73"/>
      <c r="K508" s="100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  <c r="AE508" s="73"/>
    </row>
    <row r="509">
      <c r="A509" s="73"/>
      <c r="B509" s="14"/>
      <c r="C509" s="14"/>
      <c r="D509" s="73"/>
      <c r="E509" s="73"/>
      <c r="F509" s="73"/>
      <c r="G509" s="73"/>
      <c r="H509" s="73"/>
      <c r="I509" s="73"/>
      <c r="J509" s="73"/>
      <c r="K509" s="100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  <c r="AE509" s="73"/>
    </row>
    <row r="510">
      <c r="A510" s="73"/>
      <c r="B510" s="14"/>
      <c r="C510" s="14"/>
      <c r="D510" s="73"/>
      <c r="E510" s="73"/>
      <c r="F510" s="73"/>
      <c r="G510" s="73"/>
      <c r="H510" s="73"/>
      <c r="I510" s="73"/>
      <c r="J510" s="73"/>
      <c r="K510" s="100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  <c r="AE510" s="73"/>
    </row>
    <row r="511">
      <c r="A511" s="73"/>
      <c r="B511" s="14"/>
      <c r="C511" s="14"/>
      <c r="D511" s="73"/>
      <c r="E511" s="73"/>
      <c r="F511" s="73"/>
      <c r="G511" s="73"/>
      <c r="H511" s="73"/>
      <c r="I511" s="73"/>
      <c r="J511" s="73"/>
      <c r="K511" s="100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  <c r="AE511" s="73"/>
    </row>
    <row r="512">
      <c r="A512" s="73"/>
      <c r="B512" s="14"/>
      <c r="C512" s="14"/>
      <c r="D512" s="73"/>
      <c r="E512" s="73"/>
      <c r="F512" s="73"/>
      <c r="G512" s="73"/>
      <c r="H512" s="73"/>
      <c r="I512" s="73"/>
      <c r="J512" s="73"/>
      <c r="K512" s="100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  <c r="AE512" s="73"/>
    </row>
    <row r="513">
      <c r="A513" s="73"/>
      <c r="B513" s="14"/>
      <c r="C513" s="14"/>
      <c r="D513" s="73"/>
      <c r="E513" s="73"/>
      <c r="F513" s="73"/>
      <c r="G513" s="73"/>
      <c r="H513" s="73"/>
      <c r="I513" s="73"/>
      <c r="J513" s="73"/>
      <c r="K513" s="100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  <c r="AE513" s="73"/>
    </row>
    <row r="514">
      <c r="A514" s="73"/>
      <c r="B514" s="14"/>
      <c r="C514" s="14"/>
      <c r="D514" s="73"/>
      <c r="E514" s="73"/>
      <c r="F514" s="73"/>
      <c r="G514" s="73"/>
      <c r="H514" s="73"/>
      <c r="I514" s="73"/>
      <c r="J514" s="73"/>
      <c r="K514" s="100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</row>
    <row r="515">
      <c r="A515" s="73"/>
      <c r="B515" s="14"/>
      <c r="C515" s="14"/>
      <c r="D515" s="73"/>
      <c r="E515" s="73"/>
      <c r="F515" s="73"/>
      <c r="G515" s="73"/>
      <c r="H515" s="73"/>
      <c r="I515" s="73"/>
      <c r="J515" s="73"/>
      <c r="K515" s="100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  <c r="AE515" s="73"/>
    </row>
    <row r="516">
      <c r="A516" s="73"/>
      <c r="B516" s="14"/>
      <c r="C516" s="14"/>
      <c r="D516" s="73"/>
      <c r="E516" s="73"/>
      <c r="F516" s="73"/>
      <c r="G516" s="73"/>
      <c r="H516" s="73"/>
      <c r="I516" s="73"/>
      <c r="J516" s="73"/>
      <c r="K516" s="100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  <c r="AE516" s="73"/>
    </row>
    <row r="517">
      <c r="A517" s="73"/>
      <c r="B517" s="14"/>
      <c r="C517" s="14"/>
      <c r="D517" s="73"/>
      <c r="E517" s="73"/>
      <c r="F517" s="73"/>
      <c r="G517" s="73"/>
      <c r="H517" s="73"/>
      <c r="I517" s="73"/>
      <c r="J517" s="73"/>
      <c r="K517" s="100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  <c r="AE517" s="73"/>
    </row>
    <row r="518">
      <c r="A518" s="73"/>
      <c r="B518" s="14"/>
      <c r="C518" s="14"/>
      <c r="D518" s="73"/>
      <c r="E518" s="73"/>
      <c r="F518" s="73"/>
      <c r="G518" s="73"/>
      <c r="H518" s="73"/>
      <c r="I518" s="73"/>
      <c r="J518" s="73"/>
      <c r="K518" s="100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  <c r="AE518" s="73"/>
    </row>
    <row r="519">
      <c r="A519" s="73"/>
      <c r="B519" s="14"/>
      <c r="C519" s="14"/>
      <c r="D519" s="73"/>
      <c r="E519" s="73"/>
      <c r="F519" s="73"/>
      <c r="G519" s="73"/>
      <c r="H519" s="73"/>
      <c r="I519" s="73"/>
      <c r="J519" s="73"/>
      <c r="K519" s="100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</row>
    <row r="520">
      <c r="A520" s="73"/>
      <c r="B520" s="14"/>
      <c r="C520" s="14"/>
      <c r="D520" s="73"/>
      <c r="E520" s="73"/>
      <c r="F520" s="73"/>
      <c r="G520" s="73"/>
      <c r="H520" s="73"/>
      <c r="I520" s="73"/>
      <c r="J520" s="73"/>
      <c r="K520" s="100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</row>
    <row r="521">
      <c r="A521" s="73"/>
      <c r="B521" s="14"/>
      <c r="C521" s="14"/>
      <c r="D521" s="73"/>
      <c r="E521" s="73"/>
      <c r="F521" s="73"/>
      <c r="G521" s="73"/>
      <c r="H521" s="73"/>
      <c r="I521" s="73"/>
      <c r="J521" s="73"/>
      <c r="K521" s="100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  <c r="AE521" s="73"/>
    </row>
    <row r="522">
      <c r="A522" s="73"/>
      <c r="B522" s="14"/>
      <c r="C522" s="14"/>
      <c r="D522" s="73"/>
      <c r="E522" s="73"/>
      <c r="F522" s="73"/>
      <c r="G522" s="73"/>
      <c r="H522" s="73"/>
      <c r="I522" s="73"/>
      <c r="J522" s="73"/>
      <c r="K522" s="100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  <c r="AE522" s="73"/>
    </row>
    <row r="523">
      <c r="A523" s="73"/>
      <c r="B523" s="14"/>
      <c r="C523" s="14"/>
      <c r="D523" s="73"/>
      <c r="E523" s="73"/>
      <c r="F523" s="73"/>
      <c r="G523" s="73"/>
      <c r="H523" s="73"/>
      <c r="I523" s="73"/>
      <c r="J523" s="73"/>
      <c r="K523" s="100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  <c r="AE523" s="73"/>
    </row>
    <row r="524">
      <c r="A524" s="73"/>
      <c r="B524" s="14"/>
      <c r="C524" s="14"/>
      <c r="D524" s="73"/>
      <c r="E524" s="73"/>
      <c r="F524" s="73"/>
      <c r="G524" s="73"/>
      <c r="H524" s="73"/>
      <c r="I524" s="73"/>
      <c r="J524" s="73"/>
      <c r="K524" s="100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</row>
    <row r="525">
      <c r="A525" s="73"/>
      <c r="B525" s="14"/>
      <c r="C525" s="14"/>
      <c r="D525" s="73"/>
      <c r="E525" s="73"/>
      <c r="F525" s="73"/>
      <c r="G525" s="73"/>
      <c r="H525" s="73"/>
      <c r="I525" s="73"/>
      <c r="J525" s="73"/>
      <c r="K525" s="100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  <c r="AE525" s="73"/>
    </row>
    <row r="526">
      <c r="A526" s="73"/>
      <c r="B526" s="14"/>
      <c r="C526" s="14"/>
      <c r="D526" s="73"/>
      <c r="E526" s="73"/>
      <c r="F526" s="73"/>
      <c r="G526" s="73"/>
      <c r="H526" s="73"/>
      <c r="I526" s="73"/>
      <c r="J526" s="73"/>
      <c r="K526" s="100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</row>
    <row r="527">
      <c r="A527" s="73"/>
      <c r="B527" s="14"/>
      <c r="C527" s="14"/>
      <c r="D527" s="73"/>
      <c r="E527" s="73"/>
      <c r="F527" s="73"/>
      <c r="G527" s="73"/>
      <c r="H527" s="73"/>
      <c r="I527" s="73"/>
      <c r="J527" s="73"/>
      <c r="K527" s="100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  <c r="AE527" s="73"/>
    </row>
    <row r="528">
      <c r="A528" s="73"/>
      <c r="B528" s="14"/>
      <c r="C528" s="14"/>
      <c r="D528" s="73"/>
      <c r="E528" s="73"/>
      <c r="F528" s="73"/>
      <c r="G528" s="73"/>
      <c r="H528" s="73"/>
      <c r="I528" s="73"/>
      <c r="J528" s="73"/>
      <c r="K528" s="100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  <c r="AE528" s="73"/>
    </row>
    <row r="529">
      <c r="A529" s="73"/>
      <c r="B529" s="14"/>
      <c r="C529" s="14"/>
      <c r="D529" s="73"/>
      <c r="E529" s="73"/>
      <c r="F529" s="73"/>
      <c r="G529" s="73"/>
      <c r="H529" s="73"/>
      <c r="I529" s="73"/>
      <c r="J529" s="73"/>
      <c r="K529" s="100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</row>
    <row r="530">
      <c r="A530" s="73"/>
      <c r="B530" s="14"/>
      <c r="C530" s="14"/>
      <c r="D530" s="73"/>
      <c r="E530" s="73"/>
      <c r="F530" s="73"/>
      <c r="G530" s="73"/>
      <c r="H530" s="73"/>
      <c r="I530" s="73"/>
      <c r="J530" s="73"/>
      <c r="K530" s="100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  <c r="AE530" s="73"/>
    </row>
    <row r="531">
      <c r="A531" s="73"/>
      <c r="B531" s="14"/>
      <c r="C531" s="14"/>
      <c r="D531" s="73"/>
      <c r="E531" s="73"/>
      <c r="F531" s="73"/>
      <c r="G531" s="73"/>
      <c r="H531" s="73"/>
      <c r="I531" s="73"/>
      <c r="J531" s="73"/>
      <c r="K531" s="100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  <c r="AE531" s="73"/>
    </row>
    <row r="532">
      <c r="A532" s="73"/>
      <c r="B532" s="14"/>
      <c r="C532" s="14"/>
      <c r="D532" s="73"/>
      <c r="E532" s="73"/>
      <c r="F532" s="73"/>
      <c r="G532" s="73"/>
      <c r="H532" s="73"/>
      <c r="I532" s="73"/>
      <c r="J532" s="73"/>
      <c r="K532" s="100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  <c r="AE532" s="73"/>
    </row>
    <row r="533">
      <c r="A533" s="73"/>
      <c r="B533" s="14"/>
      <c r="C533" s="14"/>
      <c r="D533" s="73"/>
      <c r="E533" s="73"/>
      <c r="F533" s="73"/>
      <c r="G533" s="73"/>
      <c r="H533" s="73"/>
      <c r="I533" s="73"/>
      <c r="J533" s="73"/>
      <c r="K533" s="100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  <c r="AE533" s="73"/>
    </row>
    <row r="534">
      <c r="A534" s="73"/>
      <c r="B534" s="14"/>
      <c r="C534" s="14"/>
      <c r="D534" s="73"/>
      <c r="E534" s="73"/>
      <c r="F534" s="73"/>
      <c r="G534" s="73"/>
      <c r="H534" s="73"/>
      <c r="I534" s="73"/>
      <c r="J534" s="73"/>
      <c r="K534" s="100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  <c r="AE534" s="73"/>
    </row>
    <row r="535">
      <c r="A535" s="73"/>
      <c r="B535" s="14"/>
      <c r="C535" s="14"/>
      <c r="D535" s="73"/>
      <c r="E535" s="73"/>
      <c r="F535" s="73"/>
      <c r="G535" s="73"/>
      <c r="H535" s="73"/>
      <c r="I535" s="73"/>
      <c r="J535" s="73"/>
      <c r="K535" s="100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  <c r="AE535" s="73"/>
    </row>
    <row r="536">
      <c r="A536" s="73"/>
      <c r="B536" s="14"/>
      <c r="C536" s="14"/>
      <c r="D536" s="73"/>
      <c r="E536" s="73"/>
      <c r="F536" s="73"/>
      <c r="G536" s="73"/>
      <c r="H536" s="73"/>
      <c r="I536" s="73"/>
      <c r="J536" s="73"/>
      <c r="K536" s="100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  <c r="AE536" s="73"/>
    </row>
    <row r="537">
      <c r="A537" s="73"/>
      <c r="B537" s="14"/>
      <c r="C537" s="14"/>
      <c r="D537" s="73"/>
      <c r="E537" s="73"/>
      <c r="F537" s="73"/>
      <c r="G537" s="73"/>
      <c r="H537" s="73"/>
      <c r="I537" s="73"/>
      <c r="J537" s="73"/>
      <c r="K537" s="100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</row>
    <row r="538">
      <c r="A538" s="73"/>
      <c r="B538" s="14"/>
      <c r="C538" s="14"/>
      <c r="D538" s="73"/>
      <c r="E538" s="73"/>
      <c r="F538" s="73"/>
      <c r="G538" s="73"/>
      <c r="H538" s="73"/>
      <c r="I538" s="73"/>
      <c r="J538" s="73"/>
      <c r="K538" s="100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  <c r="AE538" s="73"/>
    </row>
    <row r="539">
      <c r="A539" s="73"/>
      <c r="B539" s="14"/>
      <c r="C539" s="14"/>
      <c r="D539" s="73"/>
      <c r="E539" s="73"/>
      <c r="F539" s="73"/>
      <c r="G539" s="73"/>
      <c r="H539" s="73"/>
      <c r="I539" s="73"/>
      <c r="J539" s="73"/>
      <c r="K539" s="100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  <c r="AE539" s="73"/>
    </row>
    <row r="540">
      <c r="A540" s="73"/>
      <c r="B540" s="14"/>
      <c r="C540" s="14"/>
      <c r="D540" s="73"/>
      <c r="E540" s="73"/>
      <c r="F540" s="73"/>
      <c r="G540" s="73"/>
      <c r="H540" s="73"/>
      <c r="I540" s="73"/>
      <c r="J540" s="73"/>
      <c r="K540" s="100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  <c r="AE540" s="73"/>
    </row>
    <row r="541">
      <c r="A541" s="73"/>
      <c r="B541" s="14"/>
      <c r="C541" s="14"/>
      <c r="D541" s="73"/>
      <c r="E541" s="73"/>
      <c r="F541" s="73"/>
      <c r="G541" s="73"/>
      <c r="H541" s="73"/>
      <c r="I541" s="73"/>
      <c r="J541" s="73"/>
      <c r="K541" s="100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  <c r="AE541" s="73"/>
    </row>
    <row r="542">
      <c r="A542" s="73"/>
      <c r="B542" s="14"/>
      <c r="C542" s="14"/>
      <c r="D542" s="73"/>
      <c r="E542" s="73"/>
      <c r="F542" s="73"/>
      <c r="G542" s="73"/>
      <c r="H542" s="73"/>
      <c r="I542" s="73"/>
      <c r="J542" s="73"/>
      <c r="K542" s="100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  <c r="AE542" s="73"/>
    </row>
    <row r="543">
      <c r="A543" s="73"/>
      <c r="B543" s="14"/>
      <c r="C543" s="14"/>
      <c r="D543" s="73"/>
      <c r="E543" s="73"/>
      <c r="F543" s="73"/>
      <c r="G543" s="73"/>
      <c r="H543" s="73"/>
      <c r="I543" s="73"/>
      <c r="J543" s="73"/>
      <c r="K543" s="100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  <c r="AE543" s="73"/>
    </row>
    <row r="544">
      <c r="A544" s="73"/>
      <c r="B544" s="14"/>
      <c r="C544" s="14"/>
      <c r="D544" s="73"/>
      <c r="E544" s="73"/>
      <c r="F544" s="73"/>
      <c r="G544" s="73"/>
      <c r="H544" s="73"/>
      <c r="I544" s="73"/>
      <c r="J544" s="73"/>
      <c r="K544" s="100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</row>
    <row r="545">
      <c r="A545" s="73"/>
      <c r="B545" s="14"/>
      <c r="C545" s="14"/>
      <c r="D545" s="73"/>
      <c r="E545" s="73"/>
      <c r="F545" s="73"/>
      <c r="G545" s="73"/>
      <c r="H545" s="73"/>
      <c r="I545" s="73"/>
      <c r="J545" s="73"/>
      <c r="K545" s="100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  <c r="AE545" s="73"/>
    </row>
    <row r="546">
      <c r="A546" s="73"/>
      <c r="B546" s="14"/>
      <c r="C546" s="14"/>
      <c r="D546" s="73"/>
      <c r="E546" s="73"/>
      <c r="F546" s="73"/>
      <c r="G546" s="73"/>
      <c r="H546" s="73"/>
      <c r="I546" s="73"/>
      <c r="J546" s="73"/>
      <c r="K546" s="100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  <c r="AE546" s="73"/>
    </row>
    <row r="547">
      <c r="A547" s="73"/>
      <c r="B547" s="14"/>
      <c r="C547" s="14"/>
      <c r="D547" s="73"/>
      <c r="E547" s="73"/>
      <c r="F547" s="73"/>
      <c r="G547" s="73"/>
      <c r="H547" s="73"/>
      <c r="I547" s="73"/>
      <c r="J547" s="73"/>
      <c r="K547" s="100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  <c r="AE547" s="73"/>
    </row>
    <row r="548">
      <c r="A548" s="73"/>
      <c r="B548" s="14"/>
      <c r="C548" s="14"/>
      <c r="D548" s="73"/>
      <c r="E548" s="73"/>
      <c r="F548" s="73"/>
      <c r="G548" s="73"/>
      <c r="H548" s="73"/>
      <c r="I548" s="73"/>
      <c r="J548" s="73"/>
      <c r="K548" s="100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  <c r="AE548" s="73"/>
    </row>
    <row r="549">
      <c r="A549" s="73"/>
      <c r="B549" s="14"/>
      <c r="C549" s="14"/>
      <c r="D549" s="73"/>
      <c r="E549" s="73"/>
      <c r="F549" s="73"/>
      <c r="G549" s="73"/>
      <c r="H549" s="73"/>
      <c r="I549" s="73"/>
      <c r="J549" s="73"/>
      <c r="K549" s="100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</row>
    <row r="550">
      <c r="A550" s="73"/>
      <c r="B550" s="14"/>
      <c r="C550" s="14"/>
      <c r="D550" s="73"/>
      <c r="E550" s="73"/>
      <c r="F550" s="73"/>
      <c r="G550" s="73"/>
      <c r="H550" s="73"/>
      <c r="I550" s="73"/>
      <c r="J550" s="73"/>
      <c r="K550" s="100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</row>
    <row r="551">
      <c r="A551" s="73"/>
      <c r="B551" s="14"/>
      <c r="C551" s="14"/>
      <c r="D551" s="73"/>
      <c r="E551" s="73"/>
      <c r="F551" s="73"/>
      <c r="G551" s="73"/>
      <c r="H551" s="73"/>
      <c r="I551" s="73"/>
      <c r="J551" s="73"/>
      <c r="K551" s="100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</row>
    <row r="552">
      <c r="A552" s="73"/>
      <c r="B552" s="14"/>
      <c r="C552" s="14"/>
      <c r="D552" s="73"/>
      <c r="E552" s="73"/>
      <c r="F552" s="73"/>
      <c r="G552" s="73"/>
      <c r="H552" s="73"/>
      <c r="I552" s="73"/>
      <c r="J552" s="73"/>
      <c r="K552" s="100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  <c r="AE552" s="73"/>
    </row>
    <row r="553">
      <c r="A553" s="73"/>
      <c r="B553" s="14"/>
      <c r="C553" s="14"/>
      <c r="D553" s="73"/>
      <c r="E553" s="73"/>
      <c r="F553" s="73"/>
      <c r="G553" s="73"/>
      <c r="H553" s="73"/>
      <c r="I553" s="73"/>
      <c r="J553" s="73"/>
      <c r="K553" s="100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  <c r="AE553" s="73"/>
    </row>
    <row r="554">
      <c r="A554" s="73"/>
      <c r="B554" s="14"/>
      <c r="C554" s="14"/>
      <c r="D554" s="73"/>
      <c r="E554" s="73"/>
      <c r="F554" s="73"/>
      <c r="G554" s="73"/>
      <c r="H554" s="73"/>
      <c r="I554" s="73"/>
      <c r="J554" s="73"/>
      <c r="K554" s="100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</row>
    <row r="555">
      <c r="A555" s="73"/>
      <c r="B555" s="14"/>
      <c r="C555" s="14"/>
      <c r="D555" s="73"/>
      <c r="E555" s="73"/>
      <c r="F555" s="73"/>
      <c r="G555" s="73"/>
      <c r="H555" s="73"/>
      <c r="I555" s="73"/>
      <c r="J555" s="73"/>
      <c r="K555" s="100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</row>
    <row r="556">
      <c r="A556" s="73"/>
      <c r="B556" s="14"/>
      <c r="C556" s="14"/>
      <c r="D556" s="73"/>
      <c r="E556" s="73"/>
      <c r="F556" s="73"/>
      <c r="G556" s="73"/>
      <c r="H556" s="73"/>
      <c r="I556" s="73"/>
      <c r="J556" s="73"/>
      <c r="K556" s="100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  <c r="AE556" s="73"/>
    </row>
    <row r="557">
      <c r="A557" s="73"/>
      <c r="B557" s="14"/>
      <c r="C557" s="14"/>
      <c r="D557" s="73"/>
      <c r="E557" s="73"/>
      <c r="F557" s="73"/>
      <c r="G557" s="73"/>
      <c r="H557" s="73"/>
      <c r="I557" s="73"/>
      <c r="J557" s="73"/>
      <c r="K557" s="100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  <c r="AE557" s="73"/>
    </row>
    <row r="558">
      <c r="A558" s="73"/>
      <c r="B558" s="14"/>
      <c r="C558" s="14"/>
      <c r="D558" s="73"/>
      <c r="E558" s="73"/>
      <c r="F558" s="73"/>
      <c r="G558" s="73"/>
      <c r="H558" s="73"/>
      <c r="I558" s="73"/>
      <c r="J558" s="73"/>
      <c r="K558" s="100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  <c r="AE558" s="73"/>
    </row>
    <row r="559">
      <c r="A559" s="73"/>
      <c r="B559" s="14"/>
      <c r="C559" s="14"/>
      <c r="D559" s="73"/>
      <c r="E559" s="73"/>
      <c r="F559" s="73"/>
      <c r="G559" s="73"/>
      <c r="H559" s="73"/>
      <c r="I559" s="73"/>
      <c r="J559" s="73"/>
      <c r="K559" s="100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</row>
    <row r="560">
      <c r="A560" s="73"/>
      <c r="B560" s="14"/>
      <c r="C560" s="14"/>
      <c r="D560" s="73"/>
      <c r="E560" s="73"/>
      <c r="F560" s="73"/>
      <c r="G560" s="73"/>
      <c r="H560" s="73"/>
      <c r="I560" s="73"/>
      <c r="J560" s="73"/>
      <c r="K560" s="100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  <c r="AE560" s="73"/>
    </row>
    <row r="561">
      <c r="A561" s="73"/>
      <c r="B561" s="14"/>
      <c r="C561" s="14"/>
      <c r="D561" s="73"/>
      <c r="E561" s="73"/>
      <c r="F561" s="73"/>
      <c r="G561" s="73"/>
      <c r="H561" s="73"/>
      <c r="I561" s="73"/>
      <c r="J561" s="73"/>
      <c r="K561" s="100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  <c r="AE561" s="73"/>
    </row>
    <row r="562">
      <c r="A562" s="73"/>
      <c r="B562" s="14"/>
      <c r="C562" s="14"/>
      <c r="D562" s="73"/>
      <c r="E562" s="73"/>
      <c r="F562" s="73"/>
      <c r="G562" s="73"/>
      <c r="H562" s="73"/>
      <c r="I562" s="73"/>
      <c r="J562" s="73"/>
      <c r="K562" s="100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  <c r="AE562" s="73"/>
    </row>
    <row r="563">
      <c r="A563" s="73"/>
      <c r="B563" s="14"/>
      <c r="C563" s="14"/>
      <c r="D563" s="73"/>
      <c r="E563" s="73"/>
      <c r="F563" s="73"/>
      <c r="G563" s="73"/>
      <c r="H563" s="73"/>
      <c r="I563" s="73"/>
      <c r="J563" s="73"/>
      <c r="K563" s="100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  <c r="AE563" s="73"/>
    </row>
    <row r="564">
      <c r="A564" s="73"/>
      <c r="B564" s="14"/>
      <c r="C564" s="14"/>
      <c r="D564" s="73"/>
      <c r="E564" s="73"/>
      <c r="F564" s="73"/>
      <c r="G564" s="73"/>
      <c r="H564" s="73"/>
      <c r="I564" s="73"/>
      <c r="J564" s="73"/>
      <c r="K564" s="100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</row>
    <row r="565">
      <c r="A565" s="73"/>
      <c r="B565" s="14"/>
      <c r="C565" s="14"/>
      <c r="D565" s="73"/>
      <c r="E565" s="73"/>
      <c r="F565" s="73"/>
      <c r="G565" s="73"/>
      <c r="H565" s="73"/>
      <c r="I565" s="73"/>
      <c r="J565" s="73"/>
      <c r="K565" s="100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</row>
    <row r="566">
      <c r="A566" s="73"/>
      <c r="B566" s="14"/>
      <c r="C566" s="14"/>
      <c r="D566" s="73"/>
      <c r="E566" s="73"/>
      <c r="F566" s="73"/>
      <c r="G566" s="73"/>
      <c r="H566" s="73"/>
      <c r="I566" s="73"/>
      <c r="J566" s="73"/>
      <c r="K566" s="100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</row>
    <row r="567">
      <c r="A567" s="73"/>
      <c r="B567" s="14"/>
      <c r="C567" s="14"/>
      <c r="D567" s="73"/>
      <c r="E567" s="73"/>
      <c r="F567" s="73"/>
      <c r="G567" s="73"/>
      <c r="H567" s="73"/>
      <c r="I567" s="73"/>
      <c r="J567" s="73"/>
      <c r="K567" s="100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</row>
    <row r="568">
      <c r="A568" s="73"/>
      <c r="B568" s="14"/>
      <c r="C568" s="14"/>
      <c r="D568" s="73"/>
      <c r="E568" s="73"/>
      <c r="F568" s="73"/>
      <c r="G568" s="73"/>
      <c r="H568" s="73"/>
      <c r="I568" s="73"/>
      <c r="J568" s="73"/>
      <c r="K568" s="100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</row>
    <row r="569">
      <c r="A569" s="73"/>
      <c r="B569" s="14"/>
      <c r="C569" s="14"/>
      <c r="D569" s="73"/>
      <c r="E569" s="73"/>
      <c r="F569" s="73"/>
      <c r="G569" s="73"/>
      <c r="H569" s="73"/>
      <c r="I569" s="73"/>
      <c r="J569" s="73"/>
      <c r="K569" s="100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</row>
    <row r="570">
      <c r="A570" s="73"/>
      <c r="B570" s="14"/>
      <c r="C570" s="14"/>
      <c r="D570" s="73"/>
      <c r="E570" s="73"/>
      <c r="F570" s="73"/>
      <c r="G570" s="73"/>
      <c r="H570" s="73"/>
      <c r="I570" s="73"/>
      <c r="J570" s="73"/>
      <c r="K570" s="100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</row>
    <row r="571">
      <c r="A571" s="73"/>
      <c r="B571" s="14"/>
      <c r="C571" s="14"/>
      <c r="D571" s="73"/>
      <c r="E571" s="73"/>
      <c r="F571" s="73"/>
      <c r="G571" s="73"/>
      <c r="H571" s="73"/>
      <c r="I571" s="73"/>
      <c r="J571" s="73"/>
      <c r="K571" s="100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</row>
    <row r="572">
      <c r="A572" s="73"/>
      <c r="B572" s="14"/>
      <c r="C572" s="14"/>
      <c r="D572" s="73"/>
      <c r="E572" s="73"/>
      <c r="F572" s="73"/>
      <c r="G572" s="73"/>
      <c r="H572" s="73"/>
      <c r="I572" s="73"/>
      <c r="J572" s="73"/>
      <c r="K572" s="100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</row>
    <row r="573">
      <c r="A573" s="73"/>
      <c r="B573" s="14"/>
      <c r="C573" s="14"/>
      <c r="D573" s="73"/>
      <c r="E573" s="73"/>
      <c r="F573" s="73"/>
      <c r="G573" s="73"/>
      <c r="H573" s="73"/>
      <c r="I573" s="73"/>
      <c r="J573" s="73"/>
      <c r="K573" s="100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</row>
    <row r="574">
      <c r="A574" s="73"/>
      <c r="B574" s="14"/>
      <c r="C574" s="14"/>
      <c r="D574" s="73"/>
      <c r="E574" s="73"/>
      <c r="F574" s="73"/>
      <c r="G574" s="73"/>
      <c r="H574" s="73"/>
      <c r="I574" s="73"/>
      <c r="J574" s="73"/>
      <c r="K574" s="100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</row>
    <row r="575">
      <c r="A575" s="73"/>
      <c r="B575" s="14"/>
      <c r="C575" s="14"/>
      <c r="D575" s="73"/>
      <c r="E575" s="73"/>
      <c r="F575" s="73"/>
      <c r="G575" s="73"/>
      <c r="H575" s="73"/>
      <c r="I575" s="73"/>
      <c r="J575" s="73"/>
      <c r="K575" s="100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  <c r="AE575" s="73"/>
    </row>
    <row r="576">
      <c r="A576" s="73"/>
      <c r="B576" s="14"/>
      <c r="C576" s="14"/>
      <c r="D576" s="73"/>
      <c r="E576" s="73"/>
      <c r="F576" s="73"/>
      <c r="G576" s="73"/>
      <c r="H576" s="73"/>
      <c r="I576" s="73"/>
      <c r="J576" s="73"/>
      <c r="K576" s="100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  <c r="AE576" s="73"/>
    </row>
    <row r="577">
      <c r="A577" s="73"/>
      <c r="B577" s="14"/>
      <c r="C577" s="14"/>
      <c r="D577" s="73"/>
      <c r="E577" s="73"/>
      <c r="F577" s="73"/>
      <c r="G577" s="73"/>
      <c r="H577" s="73"/>
      <c r="I577" s="73"/>
      <c r="J577" s="73"/>
      <c r="K577" s="100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  <c r="AE577" s="73"/>
    </row>
    <row r="578">
      <c r="A578" s="73"/>
      <c r="B578" s="14"/>
      <c r="C578" s="14"/>
      <c r="D578" s="73"/>
      <c r="E578" s="73"/>
      <c r="F578" s="73"/>
      <c r="G578" s="73"/>
      <c r="H578" s="73"/>
      <c r="I578" s="73"/>
      <c r="J578" s="73"/>
      <c r="K578" s="100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</row>
    <row r="579">
      <c r="A579" s="73"/>
      <c r="B579" s="14"/>
      <c r="C579" s="14"/>
      <c r="D579" s="73"/>
      <c r="E579" s="73"/>
      <c r="F579" s="73"/>
      <c r="G579" s="73"/>
      <c r="H579" s="73"/>
      <c r="I579" s="73"/>
      <c r="J579" s="73"/>
      <c r="K579" s="100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</row>
    <row r="580">
      <c r="A580" s="73"/>
      <c r="B580" s="14"/>
      <c r="C580" s="14"/>
      <c r="D580" s="73"/>
      <c r="E580" s="73"/>
      <c r="F580" s="73"/>
      <c r="G580" s="73"/>
      <c r="H580" s="73"/>
      <c r="I580" s="73"/>
      <c r="J580" s="73"/>
      <c r="K580" s="100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  <c r="AE580" s="73"/>
    </row>
    <row r="581">
      <c r="A581" s="73"/>
      <c r="B581" s="14"/>
      <c r="C581" s="14"/>
      <c r="D581" s="73"/>
      <c r="E581" s="73"/>
      <c r="F581" s="73"/>
      <c r="G581" s="73"/>
      <c r="H581" s="73"/>
      <c r="I581" s="73"/>
      <c r="J581" s="73"/>
      <c r="K581" s="100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  <c r="AE581" s="73"/>
    </row>
    <row r="582">
      <c r="A582" s="73"/>
      <c r="B582" s="14"/>
      <c r="C582" s="14"/>
      <c r="D582" s="73"/>
      <c r="E582" s="73"/>
      <c r="F582" s="73"/>
      <c r="G582" s="73"/>
      <c r="H582" s="73"/>
      <c r="I582" s="73"/>
      <c r="J582" s="73"/>
      <c r="K582" s="100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  <c r="AE582" s="73"/>
    </row>
    <row r="583">
      <c r="A583" s="73"/>
      <c r="B583" s="14"/>
      <c r="C583" s="14"/>
      <c r="D583" s="73"/>
      <c r="E583" s="73"/>
      <c r="F583" s="73"/>
      <c r="G583" s="73"/>
      <c r="H583" s="73"/>
      <c r="I583" s="73"/>
      <c r="J583" s="73"/>
      <c r="K583" s="100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  <c r="AE583" s="73"/>
    </row>
    <row r="584">
      <c r="A584" s="73"/>
      <c r="B584" s="14"/>
      <c r="C584" s="14"/>
      <c r="D584" s="73"/>
      <c r="E584" s="73"/>
      <c r="F584" s="73"/>
      <c r="G584" s="73"/>
      <c r="H584" s="73"/>
      <c r="I584" s="73"/>
      <c r="J584" s="73"/>
      <c r="K584" s="100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</row>
    <row r="585">
      <c r="A585" s="73"/>
      <c r="B585" s="14"/>
      <c r="C585" s="14"/>
      <c r="D585" s="73"/>
      <c r="E585" s="73"/>
      <c r="F585" s="73"/>
      <c r="G585" s="73"/>
      <c r="H585" s="73"/>
      <c r="I585" s="73"/>
      <c r="J585" s="73"/>
      <c r="K585" s="100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  <c r="AE585" s="73"/>
    </row>
    <row r="586">
      <c r="A586" s="73"/>
      <c r="B586" s="14"/>
      <c r="C586" s="14"/>
      <c r="D586" s="73"/>
      <c r="E586" s="73"/>
      <c r="F586" s="73"/>
      <c r="G586" s="73"/>
      <c r="H586" s="73"/>
      <c r="I586" s="73"/>
      <c r="J586" s="73"/>
      <c r="K586" s="100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  <c r="AE586" s="73"/>
    </row>
    <row r="587">
      <c r="A587" s="73"/>
      <c r="B587" s="14"/>
      <c r="C587" s="14"/>
      <c r="D587" s="73"/>
      <c r="E587" s="73"/>
      <c r="F587" s="73"/>
      <c r="G587" s="73"/>
      <c r="H587" s="73"/>
      <c r="I587" s="73"/>
      <c r="J587" s="73"/>
      <c r="K587" s="100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  <c r="AE587" s="73"/>
    </row>
    <row r="588">
      <c r="A588" s="73"/>
      <c r="B588" s="14"/>
      <c r="C588" s="14"/>
      <c r="D588" s="73"/>
      <c r="E588" s="73"/>
      <c r="F588" s="73"/>
      <c r="G588" s="73"/>
      <c r="H588" s="73"/>
      <c r="I588" s="73"/>
      <c r="J588" s="73"/>
      <c r="K588" s="100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  <c r="AE588" s="73"/>
    </row>
    <row r="589">
      <c r="A589" s="73"/>
      <c r="B589" s="14"/>
      <c r="C589" s="14"/>
      <c r="D589" s="73"/>
      <c r="E589" s="73"/>
      <c r="F589" s="73"/>
      <c r="G589" s="73"/>
      <c r="H589" s="73"/>
      <c r="I589" s="73"/>
      <c r="J589" s="73"/>
      <c r="K589" s="100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  <c r="AE589" s="73"/>
    </row>
    <row r="590">
      <c r="A590" s="73"/>
      <c r="B590" s="14"/>
      <c r="C590" s="14"/>
      <c r="D590" s="73"/>
      <c r="E590" s="73"/>
      <c r="F590" s="73"/>
      <c r="G590" s="73"/>
      <c r="H590" s="73"/>
      <c r="I590" s="73"/>
      <c r="J590" s="73"/>
      <c r="K590" s="100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  <c r="AE590" s="73"/>
    </row>
    <row r="591">
      <c r="A591" s="73"/>
      <c r="B591" s="14"/>
      <c r="C591" s="14"/>
      <c r="D591" s="73"/>
      <c r="E591" s="73"/>
      <c r="F591" s="73"/>
      <c r="G591" s="73"/>
      <c r="H591" s="73"/>
      <c r="I591" s="73"/>
      <c r="J591" s="73"/>
      <c r="K591" s="100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</row>
    <row r="592">
      <c r="A592" s="73"/>
      <c r="B592" s="14"/>
      <c r="C592" s="14"/>
      <c r="D592" s="73"/>
      <c r="E592" s="73"/>
      <c r="F592" s="73"/>
      <c r="G592" s="73"/>
      <c r="H592" s="73"/>
      <c r="I592" s="73"/>
      <c r="J592" s="73"/>
      <c r="K592" s="100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  <c r="AE592" s="73"/>
    </row>
    <row r="593">
      <c r="A593" s="73"/>
      <c r="B593" s="14"/>
      <c r="C593" s="14"/>
      <c r="D593" s="73"/>
      <c r="E593" s="73"/>
      <c r="F593" s="73"/>
      <c r="G593" s="73"/>
      <c r="H593" s="73"/>
      <c r="I593" s="73"/>
      <c r="J593" s="73"/>
      <c r="K593" s="100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  <c r="AE593" s="73"/>
    </row>
    <row r="594">
      <c r="A594" s="73"/>
      <c r="B594" s="14"/>
      <c r="C594" s="14"/>
      <c r="D594" s="73"/>
      <c r="E594" s="73"/>
      <c r="F594" s="73"/>
      <c r="G594" s="73"/>
      <c r="H594" s="73"/>
      <c r="I594" s="73"/>
      <c r="J594" s="73"/>
      <c r="K594" s="100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  <c r="AE594" s="73"/>
    </row>
    <row r="595">
      <c r="A595" s="73"/>
      <c r="B595" s="14"/>
      <c r="C595" s="14"/>
      <c r="D595" s="73"/>
      <c r="E595" s="73"/>
      <c r="F595" s="73"/>
      <c r="G595" s="73"/>
      <c r="H595" s="73"/>
      <c r="I595" s="73"/>
      <c r="J595" s="73"/>
      <c r="K595" s="100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  <c r="AE595" s="73"/>
    </row>
    <row r="596">
      <c r="A596" s="73"/>
      <c r="B596" s="14"/>
      <c r="C596" s="14"/>
      <c r="D596" s="73"/>
      <c r="E596" s="73"/>
      <c r="F596" s="73"/>
      <c r="G596" s="73"/>
      <c r="H596" s="73"/>
      <c r="I596" s="73"/>
      <c r="J596" s="73"/>
      <c r="K596" s="100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  <c r="AE596" s="73"/>
    </row>
    <row r="597">
      <c r="A597" s="73"/>
      <c r="B597" s="14"/>
      <c r="C597" s="14"/>
      <c r="D597" s="73"/>
      <c r="E597" s="73"/>
      <c r="F597" s="73"/>
      <c r="G597" s="73"/>
      <c r="H597" s="73"/>
      <c r="I597" s="73"/>
      <c r="J597" s="73"/>
      <c r="K597" s="100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  <c r="AE597" s="73"/>
    </row>
    <row r="598">
      <c r="A598" s="73"/>
      <c r="B598" s="14"/>
      <c r="C598" s="14"/>
      <c r="D598" s="73"/>
      <c r="E598" s="73"/>
      <c r="F598" s="73"/>
      <c r="G598" s="73"/>
      <c r="H598" s="73"/>
      <c r="I598" s="73"/>
      <c r="J598" s="73"/>
      <c r="K598" s="100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  <c r="AE598" s="73"/>
    </row>
    <row r="599">
      <c r="A599" s="73"/>
      <c r="B599" s="14"/>
      <c r="C599" s="14"/>
      <c r="D599" s="73"/>
      <c r="E599" s="73"/>
      <c r="F599" s="73"/>
      <c r="G599" s="73"/>
      <c r="H599" s="73"/>
      <c r="I599" s="73"/>
      <c r="J599" s="73"/>
      <c r="K599" s="100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  <c r="AE599" s="73"/>
    </row>
    <row r="600">
      <c r="A600" s="73"/>
      <c r="B600" s="14"/>
      <c r="C600" s="14"/>
      <c r="D600" s="73"/>
      <c r="E600" s="73"/>
      <c r="F600" s="73"/>
      <c r="G600" s="73"/>
      <c r="H600" s="73"/>
      <c r="I600" s="73"/>
      <c r="J600" s="73"/>
      <c r="K600" s="100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  <c r="AE600" s="73"/>
    </row>
    <row r="601">
      <c r="A601" s="73"/>
      <c r="B601" s="14"/>
      <c r="C601" s="14"/>
      <c r="D601" s="73"/>
      <c r="E601" s="73"/>
      <c r="F601" s="73"/>
      <c r="G601" s="73"/>
      <c r="H601" s="73"/>
      <c r="I601" s="73"/>
      <c r="J601" s="73"/>
      <c r="K601" s="100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  <c r="AE601" s="73"/>
    </row>
    <row r="602">
      <c r="A602" s="73"/>
      <c r="B602" s="14"/>
      <c r="C602" s="14"/>
      <c r="D602" s="73"/>
      <c r="E602" s="73"/>
      <c r="F602" s="73"/>
      <c r="G602" s="73"/>
      <c r="H602" s="73"/>
      <c r="I602" s="73"/>
      <c r="J602" s="73"/>
      <c r="K602" s="100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  <c r="AE602" s="73"/>
    </row>
    <row r="603">
      <c r="A603" s="73"/>
      <c r="B603" s="14"/>
      <c r="C603" s="14"/>
      <c r="D603" s="73"/>
      <c r="E603" s="73"/>
      <c r="F603" s="73"/>
      <c r="G603" s="73"/>
      <c r="H603" s="73"/>
      <c r="I603" s="73"/>
      <c r="J603" s="73"/>
      <c r="K603" s="100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  <c r="AE603" s="73"/>
    </row>
    <row r="604">
      <c r="A604" s="73"/>
      <c r="B604" s="14"/>
      <c r="C604" s="14"/>
      <c r="D604" s="73"/>
      <c r="E604" s="73"/>
      <c r="F604" s="73"/>
      <c r="G604" s="73"/>
      <c r="H604" s="73"/>
      <c r="I604" s="73"/>
      <c r="J604" s="73"/>
      <c r="K604" s="100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  <c r="AE604" s="73"/>
    </row>
    <row r="605">
      <c r="A605" s="73"/>
      <c r="B605" s="14"/>
      <c r="C605" s="14"/>
      <c r="D605" s="73"/>
      <c r="E605" s="73"/>
      <c r="F605" s="73"/>
      <c r="G605" s="73"/>
      <c r="H605" s="73"/>
      <c r="I605" s="73"/>
      <c r="J605" s="73"/>
      <c r="K605" s="100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  <c r="AE605" s="73"/>
    </row>
    <row r="606">
      <c r="A606" s="73"/>
      <c r="B606" s="14"/>
      <c r="C606" s="14"/>
      <c r="D606" s="73"/>
      <c r="E606" s="73"/>
      <c r="F606" s="73"/>
      <c r="G606" s="73"/>
      <c r="H606" s="73"/>
      <c r="I606" s="73"/>
      <c r="J606" s="73"/>
      <c r="K606" s="100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  <c r="AE606" s="73"/>
    </row>
    <row r="607">
      <c r="A607" s="73"/>
      <c r="B607" s="14"/>
      <c r="C607" s="14"/>
      <c r="D607" s="73"/>
      <c r="E607" s="73"/>
      <c r="F607" s="73"/>
      <c r="G607" s="73"/>
      <c r="H607" s="73"/>
      <c r="I607" s="73"/>
      <c r="J607" s="73"/>
      <c r="K607" s="100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  <c r="AE607" s="73"/>
    </row>
    <row r="608">
      <c r="A608" s="73"/>
      <c r="B608" s="14"/>
      <c r="C608" s="14"/>
      <c r="D608" s="73"/>
      <c r="E608" s="73"/>
      <c r="F608" s="73"/>
      <c r="G608" s="73"/>
      <c r="H608" s="73"/>
      <c r="I608" s="73"/>
      <c r="J608" s="73"/>
      <c r="K608" s="100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  <c r="AE608" s="73"/>
    </row>
    <row r="609">
      <c r="A609" s="73"/>
      <c r="B609" s="14"/>
      <c r="C609" s="14"/>
      <c r="D609" s="73"/>
      <c r="E609" s="73"/>
      <c r="F609" s="73"/>
      <c r="G609" s="73"/>
      <c r="H609" s="73"/>
      <c r="I609" s="73"/>
      <c r="J609" s="73"/>
      <c r="K609" s="100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</row>
    <row r="610">
      <c r="A610" s="73"/>
      <c r="B610" s="14"/>
      <c r="C610" s="14"/>
      <c r="D610" s="73"/>
      <c r="E610" s="73"/>
      <c r="F610" s="73"/>
      <c r="G610" s="73"/>
      <c r="H610" s="73"/>
      <c r="I610" s="73"/>
      <c r="J610" s="73"/>
      <c r="K610" s="100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3"/>
    </row>
    <row r="611">
      <c r="A611" s="73"/>
      <c r="B611" s="14"/>
      <c r="C611" s="14"/>
      <c r="D611" s="73"/>
      <c r="E611" s="73"/>
      <c r="F611" s="73"/>
      <c r="G611" s="73"/>
      <c r="H611" s="73"/>
      <c r="I611" s="73"/>
      <c r="J611" s="73"/>
      <c r="K611" s="100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  <c r="AE611" s="73"/>
    </row>
    <row r="612">
      <c r="A612" s="73"/>
      <c r="B612" s="14"/>
      <c r="C612" s="14"/>
      <c r="D612" s="73"/>
      <c r="E612" s="73"/>
      <c r="F612" s="73"/>
      <c r="G612" s="73"/>
      <c r="H612" s="73"/>
      <c r="I612" s="73"/>
      <c r="J612" s="73"/>
      <c r="K612" s="100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  <c r="AE612" s="73"/>
    </row>
    <row r="613">
      <c r="A613" s="73"/>
      <c r="B613" s="14"/>
      <c r="C613" s="14"/>
      <c r="D613" s="73"/>
      <c r="E613" s="73"/>
      <c r="F613" s="73"/>
      <c r="G613" s="73"/>
      <c r="H613" s="73"/>
      <c r="I613" s="73"/>
      <c r="J613" s="73"/>
      <c r="K613" s="100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3"/>
    </row>
    <row r="614">
      <c r="A614" s="73"/>
      <c r="B614" s="14"/>
      <c r="C614" s="14"/>
      <c r="D614" s="73"/>
      <c r="E614" s="73"/>
      <c r="F614" s="73"/>
      <c r="G614" s="73"/>
      <c r="H614" s="73"/>
      <c r="I614" s="73"/>
      <c r="J614" s="73"/>
      <c r="K614" s="100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3"/>
    </row>
    <row r="615">
      <c r="A615" s="73"/>
      <c r="B615" s="14"/>
      <c r="C615" s="14"/>
      <c r="D615" s="73"/>
      <c r="E615" s="73"/>
      <c r="F615" s="73"/>
      <c r="G615" s="73"/>
      <c r="H615" s="73"/>
      <c r="I615" s="73"/>
      <c r="J615" s="73"/>
      <c r="K615" s="100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  <c r="AE615" s="73"/>
    </row>
    <row r="616">
      <c r="A616" s="73"/>
      <c r="B616" s="14"/>
      <c r="C616" s="14"/>
      <c r="D616" s="73"/>
      <c r="E616" s="73"/>
      <c r="F616" s="73"/>
      <c r="G616" s="73"/>
      <c r="H616" s="73"/>
      <c r="I616" s="73"/>
      <c r="J616" s="73"/>
      <c r="K616" s="100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  <c r="AE616" s="73"/>
    </row>
    <row r="617">
      <c r="A617" s="73"/>
      <c r="B617" s="14"/>
      <c r="C617" s="14"/>
      <c r="D617" s="73"/>
      <c r="E617" s="73"/>
      <c r="F617" s="73"/>
      <c r="G617" s="73"/>
      <c r="H617" s="73"/>
      <c r="I617" s="73"/>
      <c r="J617" s="73"/>
      <c r="K617" s="100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  <c r="AE617" s="73"/>
    </row>
    <row r="618">
      <c r="A618" s="73"/>
      <c r="B618" s="14"/>
      <c r="C618" s="14"/>
      <c r="D618" s="73"/>
      <c r="E618" s="73"/>
      <c r="F618" s="73"/>
      <c r="G618" s="73"/>
      <c r="H618" s="73"/>
      <c r="I618" s="73"/>
      <c r="J618" s="73"/>
      <c r="K618" s="100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  <c r="AE618" s="73"/>
    </row>
    <row r="619">
      <c r="A619" s="73"/>
      <c r="B619" s="14"/>
      <c r="C619" s="14"/>
      <c r="D619" s="73"/>
      <c r="E619" s="73"/>
      <c r="F619" s="73"/>
      <c r="G619" s="73"/>
      <c r="H619" s="73"/>
      <c r="I619" s="73"/>
      <c r="J619" s="73"/>
      <c r="K619" s="100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  <c r="AE619" s="73"/>
    </row>
    <row r="620">
      <c r="A620" s="73"/>
      <c r="B620" s="14"/>
      <c r="C620" s="14"/>
      <c r="D620" s="73"/>
      <c r="E620" s="73"/>
      <c r="F620" s="73"/>
      <c r="G620" s="73"/>
      <c r="H620" s="73"/>
      <c r="I620" s="73"/>
      <c r="J620" s="73"/>
      <c r="K620" s="100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  <c r="AE620" s="73"/>
    </row>
    <row r="621">
      <c r="A621" s="73"/>
      <c r="B621" s="14"/>
      <c r="C621" s="14"/>
      <c r="D621" s="73"/>
      <c r="E621" s="73"/>
      <c r="F621" s="73"/>
      <c r="G621" s="73"/>
      <c r="H621" s="73"/>
      <c r="I621" s="73"/>
      <c r="J621" s="73"/>
      <c r="K621" s="100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  <c r="AE621" s="73"/>
    </row>
    <row r="622">
      <c r="A622" s="73"/>
      <c r="B622" s="14"/>
      <c r="C622" s="14"/>
      <c r="D622" s="73"/>
      <c r="E622" s="73"/>
      <c r="F622" s="73"/>
      <c r="G622" s="73"/>
      <c r="H622" s="73"/>
      <c r="I622" s="73"/>
      <c r="J622" s="73"/>
      <c r="K622" s="100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  <c r="AE622" s="73"/>
    </row>
    <row r="623">
      <c r="A623" s="73"/>
      <c r="B623" s="14"/>
      <c r="C623" s="14"/>
      <c r="D623" s="73"/>
      <c r="E623" s="73"/>
      <c r="F623" s="73"/>
      <c r="G623" s="73"/>
      <c r="H623" s="73"/>
      <c r="I623" s="73"/>
      <c r="J623" s="73"/>
      <c r="K623" s="100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  <c r="AE623" s="73"/>
    </row>
    <row r="624">
      <c r="A624" s="73"/>
      <c r="B624" s="14"/>
      <c r="C624" s="14"/>
      <c r="D624" s="73"/>
      <c r="E624" s="73"/>
      <c r="F624" s="73"/>
      <c r="G624" s="73"/>
      <c r="H624" s="73"/>
      <c r="I624" s="73"/>
      <c r="J624" s="73"/>
      <c r="K624" s="100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  <c r="AE624" s="73"/>
    </row>
    <row r="625">
      <c r="A625" s="73"/>
      <c r="B625" s="14"/>
      <c r="C625" s="14"/>
      <c r="D625" s="73"/>
      <c r="E625" s="73"/>
      <c r="F625" s="73"/>
      <c r="G625" s="73"/>
      <c r="H625" s="73"/>
      <c r="I625" s="73"/>
      <c r="J625" s="73"/>
      <c r="K625" s="100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  <c r="AE625" s="73"/>
    </row>
    <row r="626">
      <c r="A626" s="73"/>
      <c r="B626" s="14"/>
      <c r="C626" s="14"/>
      <c r="D626" s="73"/>
      <c r="E626" s="73"/>
      <c r="F626" s="73"/>
      <c r="G626" s="73"/>
      <c r="H626" s="73"/>
      <c r="I626" s="73"/>
      <c r="J626" s="73"/>
      <c r="K626" s="100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  <c r="AE626" s="73"/>
    </row>
    <row r="627">
      <c r="A627" s="73"/>
      <c r="B627" s="14"/>
      <c r="C627" s="14"/>
      <c r="D627" s="73"/>
      <c r="E627" s="73"/>
      <c r="F627" s="73"/>
      <c r="G627" s="73"/>
      <c r="H627" s="73"/>
      <c r="I627" s="73"/>
      <c r="J627" s="73"/>
      <c r="K627" s="100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3"/>
    </row>
    <row r="628">
      <c r="A628" s="73"/>
      <c r="B628" s="14"/>
      <c r="C628" s="14"/>
      <c r="D628" s="73"/>
      <c r="E628" s="73"/>
      <c r="F628" s="73"/>
      <c r="G628" s="73"/>
      <c r="H628" s="73"/>
      <c r="I628" s="73"/>
      <c r="J628" s="73"/>
      <c r="K628" s="100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  <c r="AE628" s="73"/>
    </row>
    <row r="629">
      <c r="A629" s="73"/>
      <c r="B629" s="14"/>
      <c r="C629" s="14"/>
      <c r="D629" s="73"/>
      <c r="E629" s="73"/>
      <c r="F629" s="73"/>
      <c r="G629" s="73"/>
      <c r="H629" s="73"/>
      <c r="I629" s="73"/>
      <c r="J629" s="73"/>
      <c r="K629" s="100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  <c r="AE629" s="73"/>
    </row>
    <row r="630">
      <c r="A630" s="73"/>
      <c r="B630" s="14"/>
      <c r="C630" s="14"/>
      <c r="D630" s="73"/>
      <c r="E630" s="73"/>
      <c r="F630" s="73"/>
      <c r="G630" s="73"/>
      <c r="H630" s="73"/>
      <c r="I630" s="73"/>
      <c r="J630" s="73"/>
      <c r="K630" s="100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  <c r="AE630" s="73"/>
    </row>
    <row r="631">
      <c r="A631" s="73"/>
      <c r="B631" s="14"/>
      <c r="C631" s="14"/>
      <c r="D631" s="73"/>
      <c r="E631" s="73"/>
      <c r="F631" s="73"/>
      <c r="G631" s="73"/>
      <c r="H631" s="73"/>
      <c r="I631" s="73"/>
      <c r="J631" s="73"/>
      <c r="K631" s="100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  <c r="AE631" s="73"/>
    </row>
    <row r="632">
      <c r="A632" s="73"/>
      <c r="B632" s="14"/>
      <c r="C632" s="14"/>
      <c r="D632" s="73"/>
      <c r="E632" s="73"/>
      <c r="F632" s="73"/>
      <c r="G632" s="73"/>
      <c r="H632" s="73"/>
      <c r="I632" s="73"/>
      <c r="J632" s="73"/>
      <c r="K632" s="100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  <c r="AE632" s="73"/>
    </row>
    <row r="633">
      <c r="A633" s="73"/>
      <c r="B633" s="14"/>
      <c r="C633" s="14"/>
      <c r="D633" s="73"/>
      <c r="E633" s="73"/>
      <c r="F633" s="73"/>
      <c r="G633" s="73"/>
      <c r="H633" s="73"/>
      <c r="I633" s="73"/>
      <c r="J633" s="73"/>
      <c r="K633" s="100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  <c r="AE633" s="73"/>
    </row>
    <row r="634">
      <c r="A634" s="73"/>
      <c r="B634" s="14"/>
      <c r="C634" s="14"/>
      <c r="D634" s="73"/>
      <c r="E634" s="73"/>
      <c r="F634" s="73"/>
      <c r="G634" s="73"/>
      <c r="H634" s="73"/>
      <c r="I634" s="73"/>
      <c r="J634" s="73"/>
      <c r="K634" s="100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  <c r="AE634" s="73"/>
    </row>
    <row r="635">
      <c r="A635" s="73"/>
      <c r="B635" s="14"/>
      <c r="C635" s="14"/>
      <c r="D635" s="73"/>
      <c r="E635" s="73"/>
      <c r="F635" s="73"/>
      <c r="G635" s="73"/>
      <c r="H635" s="73"/>
      <c r="I635" s="73"/>
      <c r="J635" s="73"/>
      <c r="K635" s="100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  <c r="AE635" s="73"/>
    </row>
    <row r="636">
      <c r="A636" s="73"/>
      <c r="B636" s="14"/>
      <c r="C636" s="14"/>
      <c r="D636" s="73"/>
      <c r="E636" s="73"/>
      <c r="F636" s="73"/>
      <c r="G636" s="73"/>
      <c r="H636" s="73"/>
      <c r="I636" s="73"/>
      <c r="J636" s="73"/>
      <c r="K636" s="100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  <c r="AE636" s="73"/>
    </row>
    <row r="637">
      <c r="A637" s="73"/>
      <c r="B637" s="14"/>
      <c r="C637" s="14"/>
      <c r="D637" s="73"/>
      <c r="E637" s="73"/>
      <c r="F637" s="73"/>
      <c r="G637" s="73"/>
      <c r="H637" s="73"/>
      <c r="I637" s="73"/>
      <c r="J637" s="73"/>
      <c r="K637" s="100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  <c r="AE637" s="73"/>
    </row>
    <row r="638">
      <c r="A638" s="73"/>
      <c r="B638" s="14"/>
      <c r="C638" s="14"/>
      <c r="D638" s="73"/>
      <c r="E638" s="73"/>
      <c r="F638" s="73"/>
      <c r="G638" s="73"/>
      <c r="H638" s="73"/>
      <c r="I638" s="73"/>
      <c r="J638" s="73"/>
      <c r="K638" s="100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  <c r="AE638" s="73"/>
    </row>
    <row r="639">
      <c r="A639" s="73"/>
      <c r="B639" s="14"/>
      <c r="C639" s="14"/>
      <c r="D639" s="73"/>
      <c r="E639" s="73"/>
      <c r="F639" s="73"/>
      <c r="G639" s="73"/>
      <c r="H639" s="73"/>
      <c r="I639" s="73"/>
      <c r="J639" s="73"/>
      <c r="K639" s="100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  <c r="AE639" s="73"/>
    </row>
    <row r="640">
      <c r="A640" s="73"/>
      <c r="B640" s="14"/>
      <c r="C640" s="14"/>
      <c r="D640" s="73"/>
      <c r="E640" s="73"/>
      <c r="F640" s="73"/>
      <c r="G640" s="73"/>
      <c r="H640" s="73"/>
      <c r="I640" s="73"/>
      <c r="J640" s="73"/>
      <c r="K640" s="100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  <c r="AE640" s="73"/>
    </row>
    <row r="641">
      <c r="A641" s="73"/>
      <c r="B641" s="14"/>
      <c r="C641" s="14"/>
      <c r="D641" s="73"/>
      <c r="E641" s="73"/>
      <c r="F641" s="73"/>
      <c r="G641" s="73"/>
      <c r="H641" s="73"/>
      <c r="I641" s="73"/>
      <c r="J641" s="73"/>
      <c r="K641" s="100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  <c r="AE641" s="73"/>
    </row>
    <row r="642">
      <c r="A642" s="73"/>
      <c r="B642" s="14"/>
      <c r="C642" s="14"/>
      <c r="D642" s="73"/>
      <c r="E642" s="73"/>
      <c r="F642" s="73"/>
      <c r="G642" s="73"/>
      <c r="H642" s="73"/>
      <c r="I642" s="73"/>
      <c r="J642" s="73"/>
      <c r="K642" s="100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  <c r="AE642" s="73"/>
    </row>
    <row r="643">
      <c r="A643" s="73"/>
      <c r="B643" s="14"/>
      <c r="C643" s="14"/>
      <c r="D643" s="73"/>
      <c r="E643" s="73"/>
      <c r="F643" s="73"/>
      <c r="G643" s="73"/>
      <c r="H643" s="73"/>
      <c r="I643" s="73"/>
      <c r="J643" s="73"/>
      <c r="K643" s="100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  <c r="AE643" s="73"/>
    </row>
    <row r="644">
      <c r="A644" s="73"/>
      <c r="B644" s="14"/>
      <c r="C644" s="14"/>
      <c r="D644" s="73"/>
      <c r="E644" s="73"/>
      <c r="F644" s="73"/>
      <c r="G644" s="73"/>
      <c r="H644" s="73"/>
      <c r="I644" s="73"/>
      <c r="J644" s="73"/>
      <c r="K644" s="100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  <c r="AE644" s="73"/>
    </row>
    <row r="645">
      <c r="A645" s="73"/>
      <c r="B645" s="14"/>
      <c r="C645" s="14"/>
      <c r="D645" s="73"/>
      <c r="E645" s="73"/>
      <c r="F645" s="73"/>
      <c r="G645" s="73"/>
      <c r="H645" s="73"/>
      <c r="I645" s="73"/>
      <c r="J645" s="73"/>
      <c r="K645" s="100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  <c r="AE645" s="73"/>
    </row>
    <row r="646">
      <c r="A646" s="73"/>
      <c r="B646" s="14"/>
      <c r="C646" s="14"/>
      <c r="D646" s="73"/>
      <c r="E646" s="73"/>
      <c r="F646" s="73"/>
      <c r="G646" s="73"/>
      <c r="H646" s="73"/>
      <c r="I646" s="73"/>
      <c r="J646" s="73"/>
      <c r="K646" s="100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  <c r="AE646" s="73"/>
    </row>
    <row r="647">
      <c r="A647" s="73"/>
      <c r="B647" s="14"/>
      <c r="C647" s="14"/>
      <c r="D647" s="73"/>
      <c r="E647" s="73"/>
      <c r="F647" s="73"/>
      <c r="G647" s="73"/>
      <c r="H647" s="73"/>
      <c r="I647" s="73"/>
      <c r="J647" s="73"/>
      <c r="K647" s="100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  <c r="AE647" s="73"/>
    </row>
    <row r="648">
      <c r="A648" s="73"/>
      <c r="B648" s="14"/>
      <c r="C648" s="14"/>
      <c r="D648" s="73"/>
      <c r="E648" s="73"/>
      <c r="F648" s="73"/>
      <c r="G648" s="73"/>
      <c r="H648" s="73"/>
      <c r="I648" s="73"/>
      <c r="J648" s="73"/>
      <c r="K648" s="100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  <c r="AE648" s="73"/>
    </row>
    <row r="649">
      <c r="A649" s="73"/>
      <c r="B649" s="14"/>
      <c r="C649" s="14"/>
      <c r="D649" s="73"/>
      <c r="E649" s="73"/>
      <c r="F649" s="73"/>
      <c r="G649" s="73"/>
      <c r="H649" s="73"/>
      <c r="I649" s="73"/>
      <c r="J649" s="73"/>
      <c r="K649" s="100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  <c r="AE649" s="73"/>
    </row>
    <row r="650">
      <c r="A650" s="73"/>
      <c r="B650" s="14"/>
      <c r="C650" s="14"/>
      <c r="D650" s="73"/>
      <c r="E650" s="73"/>
      <c r="F650" s="73"/>
      <c r="G650" s="73"/>
      <c r="H650" s="73"/>
      <c r="I650" s="73"/>
      <c r="J650" s="73"/>
      <c r="K650" s="100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  <c r="AE650" s="73"/>
    </row>
    <row r="651">
      <c r="A651" s="73"/>
      <c r="B651" s="14"/>
      <c r="C651" s="14"/>
      <c r="D651" s="73"/>
      <c r="E651" s="73"/>
      <c r="F651" s="73"/>
      <c r="G651" s="73"/>
      <c r="H651" s="73"/>
      <c r="I651" s="73"/>
      <c r="J651" s="73"/>
      <c r="K651" s="100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  <c r="AE651" s="73"/>
    </row>
    <row r="652">
      <c r="A652" s="73"/>
      <c r="B652" s="14"/>
      <c r="C652" s="14"/>
      <c r="D652" s="73"/>
      <c r="E652" s="73"/>
      <c r="F652" s="73"/>
      <c r="G652" s="73"/>
      <c r="H652" s="73"/>
      <c r="I652" s="73"/>
      <c r="J652" s="73"/>
      <c r="K652" s="100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  <c r="AE652" s="73"/>
    </row>
    <row r="653">
      <c r="A653" s="73"/>
      <c r="B653" s="14"/>
      <c r="C653" s="14"/>
      <c r="D653" s="73"/>
      <c r="E653" s="73"/>
      <c r="F653" s="73"/>
      <c r="G653" s="73"/>
      <c r="H653" s="73"/>
      <c r="I653" s="73"/>
      <c r="J653" s="73"/>
      <c r="K653" s="100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  <c r="AE653" s="73"/>
    </row>
    <row r="654">
      <c r="A654" s="73"/>
      <c r="B654" s="14"/>
      <c r="C654" s="14"/>
      <c r="D654" s="73"/>
      <c r="E654" s="73"/>
      <c r="F654" s="73"/>
      <c r="G654" s="73"/>
      <c r="H654" s="73"/>
      <c r="I654" s="73"/>
      <c r="J654" s="73"/>
      <c r="K654" s="100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  <c r="AE654" s="73"/>
    </row>
    <row r="655">
      <c r="A655" s="73"/>
      <c r="B655" s="14"/>
      <c r="C655" s="14"/>
      <c r="D655" s="73"/>
      <c r="E655" s="73"/>
      <c r="F655" s="73"/>
      <c r="G655" s="73"/>
      <c r="H655" s="73"/>
      <c r="I655" s="73"/>
      <c r="J655" s="73"/>
      <c r="K655" s="100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  <c r="AE655" s="73"/>
    </row>
    <row r="656">
      <c r="A656" s="73"/>
      <c r="B656" s="14"/>
      <c r="C656" s="14"/>
      <c r="D656" s="73"/>
      <c r="E656" s="73"/>
      <c r="F656" s="73"/>
      <c r="G656" s="73"/>
      <c r="H656" s="73"/>
      <c r="I656" s="73"/>
      <c r="J656" s="73"/>
      <c r="K656" s="100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  <c r="AE656" s="73"/>
    </row>
    <row r="657">
      <c r="A657" s="73"/>
      <c r="B657" s="14"/>
      <c r="C657" s="14"/>
      <c r="D657" s="73"/>
      <c r="E657" s="73"/>
      <c r="F657" s="73"/>
      <c r="G657" s="73"/>
      <c r="H657" s="73"/>
      <c r="I657" s="73"/>
      <c r="J657" s="73"/>
      <c r="K657" s="100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  <c r="AE657" s="73"/>
    </row>
    <row r="658">
      <c r="A658" s="73"/>
      <c r="B658" s="14"/>
      <c r="C658" s="14"/>
      <c r="D658" s="73"/>
      <c r="E658" s="73"/>
      <c r="F658" s="73"/>
      <c r="G658" s="73"/>
      <c r="H658" s="73"/>
      <c r="I658" s="73"/>
      <c r="J658" s="73"/>
      <c r="K658" s="100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  <c r="AE658" s="73"/>
    </row>
    <row r="659">
      <c r="A659" s="73"/>
      <c r="B659" s="14"/>
      <c r="C659" s="14"/>
      <c r="D659" s="73"/>
      <c r="E659" s="73"/>
      <c r="F659" s="73"/>
      <c r="G659" s="73"/>
      <c r="H659" s="73"/>
      <c r="I659" s="73"/>
      <c r="J659" s="73"/>
      <c r="K659" s="100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  <c r="AE659" s="73"/>
    </row>
    <row r="660">
      <c r="A660" s="73"/>
      <c r="B660" s="14"/>
      <c r="C660" s="14"/>
      <c r="D660" s="73"/>
      <c r="E660" s="73"/>
      <c r="F660" s="73"/>
      <c r="G660" s="73"/>
      <c r="H660" s="73"/>
      <c r="I660" s="73"/>
      <c r="J660" s="73"/>
      <c r="K660" s="100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  <c r="AE660" s="73"/>
    </row>
    <row r="661">
      <c r="A661" s="73"/>
      <c r="B661" s="14"/>
      <c r="C661" s="14"/>
      <c r="D661" s="73"/>
      <c r="E661" s="73"/>
      <c r="F661" s="73"/>
      <c r="G661" s="73"/>
      <c r="H661" s="73"/>
      <c r="I661" s="73"/>
      <c r="J661" s="73"/>
      <c r="K661" s="100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  <c r="AE661" s="73"/>
    </row>
    <row r="662">
      <c r="A662" s="73"/>
      <c r="B662" s="14"/>
      <c r="C662" s="14"/>
      <c r="D662" s="73"/>
      <c r="E662" s="73"/>
      <c r="F662" s="73"/>
      <c r="G662" s="73"/>
      <c r="H662" s="73"/>
      <c r="I662" s="73"/>
      <c r="J662" s="73"/>
      <c r="K662" s="100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  <c r="AE662" s="73"/>
    </row>
    <row r="663">
      <c r="A663" s="73"/>
      <c r="B663" s="14"/>
      <c r="C663" s="14"/>
      <c r="D663" s="73"/>
      <c r="E663" s="73"/>
      <c r="F663" s="73"/>
      <c r="G663" s="73"/>
      <c r="H663" s="73"/>
      <c r="I663" s="73"/>
      <c r="J663" s="73"/>
      <c r="K663" s="100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</row>
    <row r="664">
      <c r="A664" s="73"/>
      <c r="B664" s="14"/>
      <c r="C664" s="14"/>
      <c r="D664" s="73"/>
      <c r="E664" s="73"/>
      <c r="F664" s="73"/>
      <c r="G664" s="73"/>
      <c r="H664" s="73"/>
      <c r="I664" s="73"/>
      <c r="J664" s="73"/>
      <c r="K664" s="100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</row>
    <row r="665">
      <c r="A665" s="73"/>
      <c r="B665" s="14"/>
      <c r="C665" s="14"/>
      <c r="D665" s="73"/>
      <c r="E665" s="73"/>
      <c r="F665" s="73"/>
      <c r="G665" s="73"/>
      <c r="H665" s="73"/>
      <c r="I665" s="73"/>
      <c r="J665" s="73"/>
      <c r="K665" s="100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  <c r="AE665" s="73"/>
    </row>
    <row r="666">
      <c r="A666" s="73"/>
      <c r="B666" s="14"/>
      <c r="C666" s="14"/>
      <c r="D666" s="73"/>
      <c r="E666" s="73"/>
      <c r="F666" s="73"/>
      <c r="G666" s="73"/>
      <c r="H666" s="73"/>
      <c r="I666" s="73"/>
      <c r="J666" s="73"/>
      <c r="K666" s="100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  <c r="AE666" s="73"/>
    </row>
    <row r="667">
      <c r="A667" s="73"/>
      <c r="B667" s="14"/>
      <c r="C667" s="14"/>
      <c r="D667" s="73"/>
      <c r="E667" s="73"/>
      <c r="F667" s="73"/>
      <c r="G667" s="73"/>
      <c r="H667" s="73"/>
      <c r="I667" s="73"/>
      <c r="J667" s="73"/>
      <c r="K667" s="100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  <c r="AE667" s="73"/>
    </row>
    <row r="668">
      <c r="A668" s="73"/>
      <c r="B668" s="14"/>
      <c r="C668" s="14"/>
      <c r="D668" s="73"/>
      <c r="E668" s="73"/>
      <c r="F668" s="73"/>
      <c r="G668" s="73"/>
      <c r="H668" s="73"/>
      <c r="I668" s="73"/>
      <c r="J668" s="73"/>
      <c r="K668" s="100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  <c r="AE668" s="73"/>
    </row>
    <row r="669">
      <c r="A669" s="73"/>
      <c r="B669" s="14"/>
      <c r="C669" s="14"/>
      <c r="D669" s="73"/>
      <c r="E669" s="73"/>
      <c r="F669" s="73"/>
      <c r="G669" s="73"/>
      <c r="H669" s="73"/>
      <c r="I669" s="73"/>
      <c r="J669" s="73"/>
      <c r="K669" s="100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</row>
    <row r="670">
      <c r="A670" s="73"/>
      <c r="B670" s="14"/>
      <c r="C670" s="14"/>
      <c r="D670" s="73"/>
      <c r="E670" s="73"/>
      <c r="F670" s="73"/>
      <c r="G670" s="73"/>
      <c r="H670" s="73"/>
      <c r="I670" s="73"/>
      <c r="J670" s="73"/>
      <c r="K670" s="100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  <c r="AE670" s="73"/>
    </row>
    <row r="671">
      <c r="A671" s="73"/>
      <c r="B671" s="14"/>
      <c r="C671" s="14"/>
      <c r="D671" s="73"/>
      <c r="E671" s="73"/>
      <c r="F671" s="73"/>
      <c r="G671" s="73"/>
      <c r="H671" s="73"/>
      <c r="I671" s="73"/>
      <c r="J671" s="73"/>
      <c r="K671" s="100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  <c r="AE671" s="73"/>
    </row>
    <row r="672">
      <c r="A672" s="73"/>
      <c r="B672" s="14"/>
      <c r="C672" s="14"/>
      <c r="D672" s="73"/>
      <c r="E672" s="73"/>
      <c r="F672" s="73"/>
      <c r="G672" s="73"/>
      <c r="H672" s="73"/>
      <c r="I672" s="73"/>
      <c r="J672" s="73"/>
      <c r="K672" s="100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  <c r="AE672" s="73"/>
    </row>
    <row r="673">
      <c r="A673" s="73"/>
      <c r="B673" s="14"/>
      <c r="C673" s="14"/>
      <c r="D673" s="73"/>
      <c r="E673" s="73"/>
      <c r="F673" s="73"/>
      <c r="G673" s="73"/>
      <c r="H673" s="73"/>
      <c r="I673" s="73"/>
      <c r="J673" s="73"/>
      <c r="K673" s="100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  <c r="AE673" s="73"/>
    </row>
    <row r="674">
      <c r="A674" s="73"/>
      <c r="B674" s="14"/>
      <c r="C674" s="14"/>
      <c r="D674" s="73"/>
      <c r="E674" s="73"/>
      <c r="F674" s="73"/>
      <c r="G674" s="73"/>
      <c r="H674" s="73"/>
      <c r="I674" s="73"/>
      <c r="J674" s="73"/>
      <c r="K674" s="100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</row>
    <row r="675">
      <c r="A675" s="73"/>
      <c r="B675" s="14"/>
      <c r="C675" s="14"/>
      <c r="D675" s="73"/>
      <c r="E675" s="73"/>
      <c r="F675" s="73"/>
      <c r="G675" s="73"/>
      <c r="H675" s="73"/>
      <c r="I675" s="73"/>
      <c r="J675" s="73"/>
      <c r="K675" s="100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  <c r="AE675" s="73"/>
    </row>
    <row r="676">
      <c r="A676" s="73"/>
      <c r="B676" s="14"/>
      <c r="C676" s="14"/>
      <c r="D676" s="73"/>
      <c r="E676" s="73"/>
      <c r="F676" s="73"/>
      <c r="G676" s="73"/>
      <c r="H676" s="73"/>
      <c r="I676" s="73"/>
      <c r="J676" s="73"/>
      <c r="K676" s="100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  <c r="AE676" s="73"/>
    </row>
    <row r="677">
      <c r="A677" s="73"/>
      <c r="B677" s="14"/>
      <c r="C677" s="14"/>
      <c r="D677" s="73"/>
      <c r="E677" s="73"/>
      <c r="F677" s="73"/>
      <c r="G677" s="73"/>
      <c r="H677" s="73"/>
      <c r="I677" s="73"/>
      <c r="J677" s="73"/>
      <c r="K677" s="100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  <c r="AE677" s="73"/>
    </row>
    <row r="678">
      <c r="A678" s="73"/>
      <c r="B678" s="14"/>
      <c r="C678" s="14"/>
      <c r="D678" s="73"/>
      <c r="E678" s="73"/>
      <c r="F678" s="73"/>
      <c r="G678" s="73"/>
      <c r="H678" s="73"/>
      <c r="I678" s="73"/>
      <c r="J678" s="73"/>
      <c r="K678" s="100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  <c r="AE678" s="73"/>
    </row>
    <row r="679">
      <c r="A679" s="73"/>
      <c r="B679" s="14"/>
      <c r="C679" s="14"/>
      <c r="D679" s="73"/>
      <c r="E679" s="73"/>
      <c r="F679" s="73"/>
      <c r="G679" s="73"/>
      <c r="H679" s="73"/>
      <c r="I679" s="73"/>
      <c r="J679" s="73"/>
      <c r="K679" s="100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</row>
    <row r="680">
      <c r="A680" s="73"/>
      <c r="B680" s="14"/>
      <c r="C680" s="14"/>
      <c r="D680" s="73"/>
      <c r="E680" s="73"/>
      <c r="F680" s="73"/>
      <c r="G680" s="73"/>
      <c r="H680" s="73"/>
      <c r="I680" s="73"/>
      <c r="J680" s="73"/>
      <c r="K680" s="100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  <c r="AE680" s="73"/>
    </row>
    <row r="681">
      <c r="A681" s="73"/>
      <c r="B681" s="14"/>
      <c r="C681" s="14"/>
      <c r="D681" s="73"/>
      <c r="E681" s="73"/>
      <c r="F681" s="73"/>
      <c r="G681" s="73"/>
      <c r="H681" s="73"/>
      <c r="I681" s="73"/>
      <c r="J681" s="73"/>
      <c r="K681" s="100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  <c r="AE681" s="73"/>
    </row>
    <row r="682">
      <c r="A682" s="73"/>
      <c r="B682" s="14"/>
      <c r="C682" s="14"/>
      <c r="D682" s="73"/>
      <c r="E682" s="73"/>
      <c r="F682" s="73"/>
      <c r="G682" s="73"/>
      <c r="H682" s="73"/>
      <c r="I682" s="73"/>
      <c r="J682" s="73"/>
      <c r="K682" s="100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  <c r="AE682" s="73"/>
    </row>
    <row r="683">
      <c r="A683" s="73"/>
      <c r="B683" s="14"/>
      <c r="C683" s="14"/>
      <c r="D683" s="73"/>
      <c r="E683" s="73"/>
      <c r="F683" s="73"/>
      <c r="G683" s="73"/>
      <c r="H683" s="73"/>
      <c r="I683" s="73"/>
      <c r="J683" s="73"/>
      <c r="K683" s="100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  <c r="AE683" s="73"/>
    </row>
    <row r="684">
      <c r="A684" s="73"/>
      <c r="B684" s="14"/>
      <c r="C684" s="14"/>
      <c r="D684" s="73"/>
      <c r="E684" s="73"/>
      <c r="F684" s="73"/>
      <c r="G684" s="73"/>
      <c r="H684" s="73"/>
      <c r="I684" s="73"/>
      <c r="J684" s="73"/>
      <c r="K684" s="100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</row>
    <row r="685">
      <c r="A685" s="73"/>
      <c r="B685" s="14"/>
      <c r="C685" s="14"/>
      <c r="D685" s="73"/>
      <c r="E685" s="73"/>
      <c r="F685" s="73"/>
      <c r="G685" s="73"/>
      <c r="H685" s="73"/>
      <c r="I685" s="73"/>
      <c r="J685" s="73"/>
      <c r="K685" s="100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  <c r="AE685" s="73"/>
    </row>
    <row r="686">
      <c r="A686" s="73"/>
      <c r="B686" s="14"/>
      <c r="C686" s="14"/>
      <c r="D686" s="73"/>
      <c r="E686" s="73"/>
      <c r="F686" s="73"/>
      <c r="G686" s="73"/>
      <c r="H686" s="73"/>
      <c r="I686" s="73"/>
      <c r="J686" s="73"/>
      <c r="K686" s="100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  <c r="AE686" s="73"/>
    </row>
    <row r="687">
      <c r="A687" s="73"/>
      <c r="B687" s="14"/>
      <c r="C687" s="14"/>
      <c r="D687" s="73"/>
      <c r="E687" s="73"/>
      <c r="F687" s="73"/>
      <c r="G687" s="73"/>
      <c r="H687" s="73"/>
      <c r="I687" s="73"/>
      <c r="J687" s="73"/>
      <c r="K687" s="100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  <c r="AE687" s="73"/>
    </row>
    <row r="688">
      <c r="A688" s="73"/>
      <c r="B688" s="14"/>
      <c r="C688" s="14"/>
      <c r="D688" s="73"/>
      <c r="E688" s="73"/>
      <c r="F688" s="73"/>
      <c r="G688" s="73"/>
      <c r="H688" s="73"/>
      <c r="I688" s="73"/>
      <c r="J688" s="73"/>
      <c r="K688" s="100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  <c r="AE688" s="73"/>
    </row>
    <row r="689">
      <c r="A689" s="73"/>
      <c r="B689" s="14"/>
      <c r="C689" s="14"/>
      <c r="D689" s="73"/>
      <c r="E689" s="73"/>
      <c r="F689" s="73"/>
      <c r="G689" s="73"/>
      <c r="H689" s="73"/>
      <c r="I689" s="73"/>
      <c r="J689" s="73"/>
      <c r="K689" s="100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</row>
    <row r="690">
      <c r="A690" s="73"/>
      <c r="B690" s="14"/>
      <c r="C690" s="14"/>
      <c r="D690" s="73"/>
      <c r="E690" s="73"/>
      <c r="F690" s="73"/>
      <c r="G690" s="73"/>
      <c r="H690" s="73"/>
      <c r="I690" s="73"/>
      <c r="J690" s="73"/>
      <c r="K690" s="100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  <c r="AE690" s="73"/>
    </row>
    <row r="691">
      <c r="A691" s="73"/>
      <c r="B691" s="14"/>
      <c r="C691" s="14"/>
      <c r="D691" s="73"/>
      <c r="E691" s="73"/>
      <c r="F691" s="73"/>
      <c r="G691" s="73"/>
      <c r="H691" s="73"/>
      <c r="I691" s="73"/>
      <c r="J691" s="73"/>
      <c r="K691" s="100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  <c r="AE691" s="73"/>
    </row>
    <row r="692">
      <c r="A692" s="73"/>
      <c r="B692" s="14"/>
      <c r="C692" s="14"/>
      <c r="D692" s="73"/>
      <c r="E692" s="73"/>
      <c r="F692" s="73"/>
      <c r="G692" s="73"/>
      <c r="H692" s="73"/>
      <c r="I692" s="73"/>
      <c r="J692" s="73"/>
      <c r="K692" s="100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  <c r="AE692" s="73"/>
    </row>
    <row r="693">
      <c r="A693" s="73"/>
      <c r="B693" s="14"/>
      <c r="C693" s="14"/>
      <c r="D693" s="73"/>
      <c r="E693" s="73"/>
      <c r="F693" s="73"/>
      <c r="G693" s="73"/>
      <c r="H693" s="73"/>
      <c r="I693" s="73"/>
      <c r="J693" s="73"/>
      <c r="K693" s="100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  <c r="AE693" s="73"/>
    </row>
    <row r="694">
      <c r="A694" s="73"/>
      <c r="B694" s="14"/>
      <c r="C694" s="14"/>
      <c r="D694" s="73"/>
      <c r="E694" s="73"/>
      <c r="F694" s="73"/>
      <c r="G694" s="73"/>
      <c r="H694" s="73"/>
      <c r="I694" s="73"/>
      <c r="J694" s="73"/>
      <c r="K694" s="100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</row>
    <row r="695">
      <c r="A695" s="73"/>
      <c r="B695" s="14"/>
      <c r="C695" s="14"/>
      <c r="D695" s="73"/>
      <c r="E695" s="73"/>
      <c r="F695" s="73"/>
      <c r="G695" s="73"/>
      <c r="H695" s="73"/>
      <c r="I695" s="73"/>
      <c r="J695" s="73"/>
      <c r="K695" s="100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  <c r="AE695" s="73"/>
    </row>
    <row r="696">
      <c r="A696" s="73"/>
      <c r="B696" s="14"/>
      <c r="C696" s="14"/>
      <c r="D696" s="73"/>
      <c r="E696" s="73"/>
      <c r="F696" s="73"/>
      <c r="G696" s="73"/>
      <c r="H696" s="73"/>
      <c r="I696" s="73"/>
      <c r="J696" s="73"/>
      <c r="K696" s="100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  <c r="AE696" s="73"/>
    </row>
    <row r="697">
      <c r="A697" s="73"/>
      <c r="B697" s="14"/>
      <c r="C697" s="14"/>
      <c r="D697" s="73"/>
      <c r="E697" s="73"/>
      <c r="F697" s="73"/>
      <c r="G697" s="73"/>
      <c r="H697" s="73"/>
      <c r="I697" s="73"/>
      <c r="J697" s="73"/>
      <c r="K697" s="100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  <c r="AE697" s="73"/>
    </row>
    <row r="698">
      <c r="A698" s="73"/>
      <c r="B698" s="14"/>
      <c r="C698" s="14"/>
      <c r="D698" s="73"/>
      <c r="E698" s="73"/>
      <c r="F698" s="73"/>
      <c r="G698" s="73"/>
      <c r="H698" s="73"/>
      <c r="I698" s="73"/>
      <c r="J698" s="73"/>
      <c r="K698" s="100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  <c r="AE698" s="73"/>
    </row>
    <row r="699">
      <c r="A699" s="73"/>
      <c r="B699" s="14"/>
      <c r="C699" s="14"/>
      <c r="D699" s="73"/>
      <c r="E699" s="73"/>
      <c r="F699" s="73"/>
      <c r="G699" s="73"/>
      <c r="H699" s="73"/>
      <c r="I699" s="73"/>
      <c r="J699" s="73"/>
      <c r="K699" s="100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</row>
    <row r="700">
      <c r="A700" s="73"/>
      <c r="B700" s="14"/>
      <c r="C700" s="14"/>
      <c r="D700" s="73"/>
      <c r="E700" s="73"/>
      <c r="F700" s="73"/>
      <c r="G700" s="73"/>
      <c r="H700" s="73"/>
      <c r="I700" s="73"/>
      <c r="J700" s="73"/>
      <c r="K700" s="100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  <c r="AE700" s="73"/>
    </row>
    <row r="701">
      <c r="A701" s="73"/>
      <c r="B701" s="14"/>
      <c r="C701" s="14"/>
      <c r="D701" s="73"/>
      <c r="E701" s="73"/>
      <c r="F701" s="73"/>
      <c r="G701" s="73"/>
      <c r="H701" s="73"/>
      <c r="I701" s="73"/>
      <c r="J701" s="73"/>
      <c r="K701" s="100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  <c r="AE701" s="73"/>
    </row>
    <row r="702">
      <c r="A702" s="73"/>
      <c r="B702" s="14"/>
      <c r="C702" s="14"/>
      <c r="D702" s="73"/>
      <c r="E702" s="73"/>
      <c r="F702" s="73"/>
      <c r="G702" s="73"/>
      <c r="H702" s="73"/>
      <c r="I702" s="73"/>
      <c r="J702" s="73"/>
      <c r="K702" s="100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  <c r="AE702" s="73"/>
    </row>
    <row r="703">
      <c r="A703" s="73"/>
      <c r="B703" s="14"/>
      <c r="C703" s="14"/>
      <c r="D703" s="73"/>
      <c r="E703" s="73"/>
      <c r="F703" s="73"/>
      <c r="G703" s="73"/>
      <c r="H703" s="73"/>
      <c r="I703" s="73"/>
      <c r="J703" s="73"/>
      <c r="K703" s="100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  <c r="AE703" s="73"/>
    </row>
    <row r="704">
      <c r="A704" s="73"/>
      <c r="B704" s="14"/>
      <c r="C704" s="14"/>
      <c r="D704" s="73"/>
      <c r="E704" s="73"/>
      <c r="F704" s="73"/>
      <c r="G704" s="73"/>
      <c r="H704" s="73"/>
      <c r="I704" s="73"/>
      <c r="J704" s="73"/>
      <c r="K704" s="100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  <c r="AE704" s="73"/>
    </row>
    <row r="705">
      <c r="A705" s="73"/>
      <c r="B705" s="14"/>
      <c r="C705" s="14"/>
      <c r="D705" s="73"/>
      <c r="E705" s="73"/>
      <c r="F705" s="73"/>
      <c r="G705" s="73"/>
      <c r="H705" s="73"/>
      <c r="I705" s="73"/>
      <c r="J705" s="73"/>
      <c r="K705" s="100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  <c r="AE705" s="73"/>
    </row>
    <row r="706">
      <c r="A706" s="73"/>
      <c r="B706" s="14"/>
      <c r="C706" s="14"/>
      <c r="D706" s="73"/>
      <c r="E706" s="73"/>
      <c r="F706" s="73"/>
      <c r="G706" s="73"/>
      <c r="H706" s="73"/>
      <c r="I706" s="73"/>
      <c r="J706" s="73"/>
      <c r="K706" s="100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  <c r="AE706" s="73"/>
    </row>
    <row r="707">
      <c r="A707" s="73"/>
      <c r="B707" s="14"/>
      <c r="C707" s="14"/>
      <c r="D707" s="73"/>
      <c r="E707" s="73"/>
      <c r="F707" s="73"/>
      <c r="G707" s="73"/>
      <c r="H707" s="73"/>
      <c r="I707" s="73"/>
      <c r="J707" s="73"/>
      <c r="K707" s="100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  <c r="AE707" s="73"/>
    </row>
    <row r="708">
      <c r="A708" s="73"/>
      <c r="B708" s="14"/>
      <c r="C708" s="14"/>
      <c r="D708" s="73"/>
      <c r="E708" s="73"/>
      <c r="F708" s="73"/>
      <c r="G708" s="73"/>
      <c r="H708" s="73"/>
      <c r="I708" s="73"/>
      <c r="J708" s="73"/>
      <c r="K708" s="100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  <c r="AE708" s="73"/>
    </row>
    <row r="709">
      <c r="A709" s="73"/>
      <c r="B709" s="14"/>
      <c r="C709" s="14"/>
      <c r="D709" s="73"/>
      <c r="E709" s="73"/>
      <c r="F709" s="73"/>
      <c r="G709" s="73"/>
      <c r="H709" s="73"/>
      <c r="I709" s="73"/>
      <c r="J709" s="73"/>
      <c r="K709" s="100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  <c r="AE709" s="73"/>
    </row>
    <row r="710">
      <c r="A710" s="73"/>
      <c r="B710" s="14"/>
      <c r="C710" s="14"/>
      <c r="D710" s="73"/>
      <c r="E710" s="73"/>
      <c r="F710" s="73"/>
      <c r="G710" s="73"/>
      <c r="H710" s="73"/>
      <c r="I710" s="73"/>
      <c r="J710" s="73"/>
      <c r="K710" s="100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  <c r="AE710" s="73"/>
    </row>
    <row r="711">
      <c r="A711" s="73"/>
      <c r="B711" s="14"/>
      <c r="C711" s="14"/>
      <c r="D711" s="73"/>
      <c r="E711" s="73"/>
      <c r="F711" s="73"/>
      <c r="G711" s="73"/>
      <c r="H711" s="73"/>
      <c r="I711" s="73"/>
      <c r="J711" s="73"/>
      <c r="K711" s="100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  <c r="AE711" s="73"/>
    </row>
    <row r="712">
      <c r="A712" s="73"/>
      <c r="B712" s="14"/>
      <c r="C712" s="14"/>
      <c r="D712" s="73"/>
      <c r="E712" s="73"/>
      <c r="F712" s="73"/>
      <c r="G712" s="73"/>
      <c r="H712" s="73"/>
      <c r="I712" s="73"/>
      <c r="J712" s="73"/>
      <c r="K712" s="100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  <c r="AE712" s="73"/>
    </row>
    <row r="713">
      <c r="A713" s="73"/>
      <c r="B713" s="14"/>
      <c r="C713" s="14"/>
      <c r="D713" s="73"/>
      <c r="E713" s="73"/>
      <c r="F713" s="73"/>
      <c r="G713" s="73"/>
      <c r="H713" s="73"/>
      <c r="I713" s="73"/>
      <c r="J713" s="73"/>
      <c r="K713" s="100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  <c r="AE713" s="73"/>
    </row>
    <row r="714">
      <c r="A714" s="73"/>
      <c r="B714" s="14"/>
      <c r="C714" s="14"/>
      <c r="D714" s="73"/>
      <c r="E714" s="73"/>
      <c r="F714" s="73"/>
      <c r="G714" s="73"/>
      <c r="H714" s="73"/>
      <c r="I714" s="73"/>
      <c r="J714" s="73"/>
      <c r="K714" s="100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3"/>
    </row>
    <row r="715">
      <c r="A715" s="73"/>
      <c r="B715" s="14"/>
      <c r="C715" s="14"/>
      <c r="D715" s="73"/>
      <c r="E715" s="73"/>
      <c r="F715" s="73"/>
      <c r="G715" s="73"/>
      <c r="H715" s="73"/>
      <c r="I715" s="73"/>
      <c r="J715" s="73"/>
      <c r="K715" s="100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  <c r="AE715" s="73"/>
    </row>
    <row r="716">
      <c r="A716" s="73"/>
      <c r="B716" s="14"/>
      <c r="C716" s="14"/>
      <c r="D716" s="73"/>
      <c r="E716" s="73"/>
      <c r="F716" s="73"/>
      <c r="G716" s="73"/>
      <c r="H716" s="73"/>
      <c r="I716" s="73"/>
      <c r="J716" s="73"/>
      <c r="K716" s="100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  <c r="AE716" s="73"/>
    </row>
    <row r="717">
      <c r="A717" s="73"/>
      <c r="B717" s="14"/>
      <c r="C717" s="14"/>
      <c r="D717" s="73"/>
      <c r="E717" s="73"/>
      <c r="F717" s="73"/>
      <c r="G717" s="73"/>
      <c r="H717" s="73"/>
      <c r="I717" s="73"/>
      <c r="J717" s="73"/>
      <c r="K717" s="100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</row>
    <row r="718">
      <c r="A718" s="73"/>
      <c r="B718" s="14"/>
      <c r="C718" s="14"/>
      <c r="D718" s="73"/>
      <c r="E718" s="73"/>
      <c r="F718" s="73"/>
      <c r="G718" s="73"/>
      <c r="H718" s="73"/>
      <c r="I718" s="73"/>
      <c r="J718" s="73"/>
      <c r="K718" s="100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  <c r="AE718" s="73"/>
    </row>
    <row r="719">
      <c r="A719" s="73"/>
      <c r="B719" s="14"/>
      <c r="C719" s="14"/>
      <c r="D719" s="73"/>
      <c r="E719" s="73"/>
      <c r="F719" s="73"/>
      <c r="G719" s="73"/>
      <c r="H719" s="73"/>
      <c r="I719" s="73"/>
      <c r="J719" s="73"/>
      <c r="K719" s="100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  <c r="AE719" s="73"/>
    </row>
    <row r="720">
      <c r="A720" s="73"/>
      <c r="B720" s="14"/>
      <c r="C720" s="14"/>
      <c r="D720" s="73"/>
      <c r="E720" s="73"/>
      <c r="F720" s="73"/>
      <c r="G720" s="73"/>
      <c r="H720" s="73"/>
      <c r="I720" s="73"/>
      <c r="J720" s="73"/>
      <c r="K720" s="100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  <c r="AE720" s="73"/>
    </row>
    <row r="721">
      <c r="A721" s="73"/>
      <c r="B721" s="14"/>
      <c r="C721" s="14"/>
      <c r="D721" s="73"/>
      <c r="E721" s="73"/>
      <c r="F721" s="73"/>
      <c r="G721" s="73"/>
      <c r="H721" s="73"/>
      <c r="I721" s="73"/>
      <c r="J721" s="73"/>
      <c r="K721" s="100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  <c r="AE721" s="73"/>
    </row>
    <row r="722">
      <c r="A722" s="73"/>
      <c r="B722" s="14"/>
      <c r="C722" s="14"/>
      <c r="D722" s="73"/>
      <c r="E722" s="73"/>
      <c r="F722" s="73"/>
      <c r="G722" s="73"/>
      <c r="H722" s="73"/>
      <c r="I722" s="73"/>
      <c r="J722" s="73"/>
      <c r="K722" s="100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  <c r="AE722" s="73"/>
    </row>
    <row r="723">
      <c r="A723" s="73"/>
      <c r="B723" s="14"/>
      <c r="C723" s="14"/>
      <c r="D723" s="73"/>
      <c r="E723" s="73"/>
      <c r="F723" s="73"/>
      <c r="G723" s="73"/>
      <c r="H723" s="73"/>
      <c r="I723" s="73"/>
      <c r="J723" s="73"/>
      <c r="K723" s="100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  <c r="AE723" s="73"/>
    </row>
    <row r="724">
      <c r="A724" s="73"/>
      <c r="B724" s="14"/>
      <c r="C724" s="14"/>
      <c r="D724" s="73"/>
      <c r="E724" s="73"/>
      <c r="F724" s="73"/>
      <c r="G724" s="73"/>
      <c r="H724" s="73"/>
      <c r="I724" s="73"/>
      <c r="J724" s="73"/>
      <c r="K724" s="100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  <c r="AE724" s="73"/>
    </row>
    <row r="725">
      <c r="A725" s="73"/>
      <c r="B725" s="14"/>
      <c r="C725" s="14"/>
      <c r="D725" s="73"/>
      <c r="E725" s="73"/>
      <c r="F725" s="73"/>
      <c r="G725" s="73"/>
      <c r="H725" s="73"/>
      <c r="I725" s="73"/>
      <c r="J725" s="73"/>
      <c r="K725" s="100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  <c r="AE725" s="73"/>
    </row>
    <row r="726">
      <c r="A726" s="73"/>
      <c r="B726" s="14"/>
      <c r="C726" s="14"/>
      <c r="D726" s="73"/>
      <c r="E726" s="73"/>
      <c r="F726" s="73"/>
      <c r="G726" s="73"/>
      <c r="H726" s="73"/>
      <c r="I726" s="73"/>
      <c r="J726" s="73"/>
      <c r="K726" s="100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  <c r="AE726" s="73"/>
    </row>
    <row r="727">
      <c r="A727" s="73"/>
      <c r="B727" s="14"/>
      <c r="C727" s="14"/>
      <c r="D727" s="73"/>
      <c r="E727" s="73"/>
      <c r="F727" s="73"/>
      <c r="G727" s="73"/>
      <c r="H727" s="73"/>
      <c r="I727" s="73"/>
      <c r="J727" s="73"/>
      <c r="K727" s="100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  <c r="AE727" s="73"/>
    </row>
    <row r="728">
      <c r="A728" s="73"/>
      <c r="B728" s="14"/>
      <c r="C728" s="14"/>
      <c r="D728" s="73"/>
      <c r="E728" s="73"/>
      <c r="F728" s="73"/>
      <c r="G728" s="73"/>
      <c r="H728" s="73"/>
      <c r="I728" s="73"/>
      <c r="J728" s="73"/>
      <c r="K728" s="100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  <c r="AE728" s="73"/>
    </row>
    <row r="729">
      <c r="A729" s="73"/>
      <c r="B729" s="14"/>
      <c r="C729" s="14"/>
      <c r="D729" s="73"/>
      <c r="E729" s="73"/>
      <c r="F729" s="73"/>
      <c r="G729" s="73"/>
      <c r="H729" s="73"/>
      <c r="I729" s="73"/>
      <c r="J729" s="73"/>
      <c r="K729" s="100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</row>
    <row r="730">
      <c r="A730" s="73"/>
      <c r="B730" s="14"/>
      <c r="C730" s="14"/>
      <c r="D730" s="73"/>
      <c r="E730" s="73"/>
      <c r="F730" s="73"/>
      <c r="G730" s="73"/>
      <c r="H730" s="73"/>
      <c r="I730" s="73"/>
      <c r="J730" s="73"/>
      <c r="K730" s="100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  <c r="AE730" s="73"/>
    </row>
    <row r="731">
      <c r="A731" s="73"/>
      <c r="B731" s="14"/>
      <c r="C731" s="14"/>
      <c r="D731" s="73"/>
      <c r="E731" s="73"/>
      <c r="F731" s="73"/>
      <c r="G731" s="73"/>
      <c r="H731" s="73"/>
      <c r="I731" s="73"/>
      <c r="J731" s="73"/>
      <c r="K731" s="100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  <c r="AE731" s="73"/>
    </row>
    <row r="732">
      <c r="A732" s="73"/>
      <c r="B732" s="14"/>
      <c r="C732" s="14"/>
      <c r="D732" s="73"/>
      <c r="E732" s="73"/>
      <c r="F732" s="73"/>
      <c r="G732" s="73"/>
      <c r="H732" s="73"/>
      <c r="I732" s="73"/>
      <c r="J732" s="73"/>
      <c r="K732" s="100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3"/>
    </row>
    <row r="733">
      <c r="A733" s="73"/>
      <c r="B733" s="14"/>
      <c r="C733" s="14"/>
      <c r="D733" s="73"/>
      <c r="E733" s="73"/>
      <c r="F733" s="73"/>
      <c r="G733" s="73"/>
      <c r="H733" s="73"/>
      <c r="I733" s="73"/>
      <c r="J733" s="73"/>
      <c r="K733" s="100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3"/>
    </row>
    <row r="734">
      <c r="A734" s="73"/>
      <c r="B734" s="14"/>
      <c r="C734" s="14"/>
      <c r="D734" s="73"/>
      <c r="E734" s="73"/>
      <c r="F734" s="73"/>
      <c r="G734" s="73"/>
      <c r="H734" s="73"/>
      <c r="I734" s="73"/>
      <c r="J734" s="73"/>
      <c r="K734" s="100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</row>
    <row r="735">
      <c r="A735" s="73"/>
      <c r="B735" s="14"/>
      <c r="C735" s="14"/>
      <c r="D735" s="73"/>
      <c r="E735" s="73"/>
      <c r="F735" s="73"/>
      <c r="G735" s="73"/>
      <c r="H735" s="73"/>
      <c r="I735" s="73"/>
      <c r="J735" s="73"/>
      <c r="K735" s="100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</row>
    <row r="736">
      <c r="A736" s="73"/>
      <c r="B736" s="14"/>
      <c r="C736" s="14"/>
      <c r="D736" s="73"/>
      <c r="E736" s="73"/>
      <c r="F736" s="73"/>
      <c r="G736" s="73"/>
      <c r="H736" s="73"/>
      <c r="I736" s="73"/>
      <c r="J736" s="73"/>
      <c r="K736" s="100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</row>
    <row r="737">
      <c r="A737" s="73"/>
      <c r="B737" s="14"/>
      <c r="C737" s="14"/>
      <c r="D737" s="73"/>
      <c r="E737" s="73"/>
      <c r="F737" s="73"/>
      <c r="G737" s="73"/>
      <c r="H737" s="73"/>
      <c r="I737" s="73"/>
      <c r="J737" s="73"/>
      <c r="K737" s="100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</row>
    <row r="738">
      <c r="A738" s="73"/>
      <c r="B738" s="14"/>
      <c r="C738" s="14"/>
      <c r="D738" s="73"/>
      <c r="E738" s="73"/>
      <c r="F738" s="73"/>
      <c r="G738" s="73"/>
      <c r="H738" s="73"/>
      <c r="I738" s="73"/>
      <c r="J738" s="73"/>
      <c r="K738" s="100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</row>
    <row r="739">
      <c r="A739" s="73"/>
      <c r="B739" s="14"/>
      <c r="C739" s="14"/>
      <c r="D739" s="73"/>
      <c r="E739" s="73"/>
      <c r="F739" s="73"/>
      <c r="G739" s="73"/>
      <c r="H739" s="73"/>
      <c r="I739" s="73"/>
      <c r="J739" s="73"/>
      <c r="K739" s="100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</row>
    <row r="740">
      <c r="A740" s="73"/>
      <c r="B740" s="14"/>
      <c r="C740" s="14"/>
      <c r="D740" s="73"/>
      <c r="E740" s="73"/>
      <c r="F740" s="73"/>
      <c r="G740" s="73"/>
      <c r="H740" s="73"/>
      <c r="I740" s="73"/>
      <c r="J740" s="73"/>
      <c r="K740" s="100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</row>
    <row r="741">
      <c r="A741" s="73"/>
      <c r="B741" s="14"/>
      <c r="C741" s="14"/>
      <c r="D741" s="73"/>
      <c r="E741" s="73"/>
      <c r="F741" s="73"/>
      <c r="G741" s="73"/>
      <c r="H741" s="73"/>
      <c r="I741" s="73"/>
      <c r="J741" s="73"/>
      <c r="K741" s="100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</row>
    <row r="742">
      <c r="A742" s="73"/>
      <c r="B742" s="14"/>
      <c r="C742" s="14"/>
      <c r="D742" s="73"/>
      <c r="E742" s="73"/>
      <c r="F742" s="73"/>
      <c r="G742" s="73"/>
      <c r="H742" s="73"/>
      <c r="I742" s="73"/>
      <c r="J742" s="73"/>
      <c r="K742" s="100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</row>
    <row r="743">
      <c r="A743" s="73"/>
      <c r="B743" s="14"/>
      <c r="C743" s="14"/>
      <c r="D743" s="73"/>
      <c r="E743" s="73"/>
      <c r="F743" s="73"/>
      <c r="G743" s="73"/>
      <c r="H743" s="73"/>
      <c r="I743" s="73"/>
      <c r="J743" s="73"/>
      <c r="K743" s="100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  <c r="AE743" s="73"/>
    </row>
    <row r="744">
      <c r="A744" s="73"/>
      <c r="B744" s="14"/>
      <c r="C744" s="14"/>
      <c r="D744" s="73"/>
      <c r="E744" s="73"/>
      <c r="F744" s="73"/>
      <c r="G744" s="73"/>
      <c r="H744" s="73"/>
      <c r="I744" s="73"/>
      <c r="J744" s="73"/>
      <c r="K744" s="100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  <c r="AE744" s="73"/>
    </row>
    <row r="745">
      <c r="A745" s="73"/>
      <c r="B745" s="14"/>
      <c r="C745" s="14"/>
      <c r="D745" s="73"/>
      <c r="E745" s="73"/>
      <c r="F745" s="73"/>
      <c r="G745" s="73"/>
      <c r="H745" s="73"/>
      <c r="I745" s="73"/>
      <c r="J745" s="73"/>
      <c r="K745" s="100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  <c r="AE745" s="73"/>
    </row>
    <row r="746">
      <c r="A746" s="73"/>
      <c r="B746" s="14"/>
      <c r="C746" s="14"/>
      <c r="D746" s="73"/>
      <c r="E746" s="73"/>
      <c r="F746" s="73"/>
      <c r="G746" s="73"/>
      <c r="H746" s="73"/>
      <c r="I746" s="73"/>
      <c r="J746" s="73"/>
      <c r="K746" s="100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  <c r="AE746" s="73"/>
    </row>
    <row r="747">
      <c r="A747" s="73"/>
      <c r="B747" s="14"/>
      <c r="C747" s="14"/>
      <c r="D747" s="73"/>
      <c r="E747" s="73"/>
      <c r="F747" s="73"/>
      <c r="G747" s="73"/>
      <c r="H747" s="73"/>
      <c r="I747" s="73"/>
      <c r="J747" s="73"/>
      <c r="K747" s="100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  <c r="AE747" s="73"/>
    </row>
    <row r="748">
      <c r="A748" s="73"/>
      <c r="B748" s="14"/>
      <c r="C748" s="14"/>
      <c r="D748" s="73"/>
      <c r="E748" s="73"/>
      <c r="F748" s="73"/>
      <c r="G748" s="73"/>
      <c r="H748" s="73"/>
      <c r="I748" s="73"/>
      <c r="J748" s="73"/>
      <c r="K748" s="100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  <c r="AE748" s="73"/>
    </row>
    <row r="749">
      <c r="A749" s="73"/>
      <c r="B749" s="14"/>
      <c r="C749" s="14"/>
      <c r="D749" s="73"/>
      <c r="E749" s="73"/>
      <c r="F749" s="73"/>
      <c r="G749" s="73"/>
      <c r="H749" s="73"/>
      <c r="I749" s="73"/>
      <c r="J749" s="73"/>
      <c r="K749" s="100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</row>
    <row r="750">
      <c r="A750" s="73"/>
      <c r="B750" s="14"/>
      <c r="C750" s="14"/>
      <c r="D750" s="73"/>
      <c r="E750" s="73"/>
      <c r="F750" s="73"/>
      <c r="G750" s="73"/>
      <c r="H750" s="73"/>
      <c r="I750" s="73"/>
      <c r="J750" s="73"/>
      <c r="K750" s="100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  <c r="AE750" s="73"/>
    </row>
    <row r="751">
      <c r="A751" s="73"/>
      <c r="B751" s="14"/>
      <c r="C751" s="14"/>
      <c r="D751" s="73"/>
      <c r="E751" s="73"/>
      <c r="F751" s="73"/>
      <c r="G751" s="73"/>
      <c r="H751" s="73"/>
      <c r="I751" s="73"/>
      <c r="J751" s="73"/>
      <c r="K751" s="100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  <c r="AE751" s="73"/>
    </row>
    <row r="752">
      <c r="A752" s="73"/>
      <c r="B752" s="14"/>
      <c r="C752" s="14"/>
      <c r="D752" s="73"/>
      <c r="E752" s="73"/>
      <c r="F752" s="73"/>
      <c r="G752" s="73"/>
      <c r="H752" s="73"/>
      <c r="I752" s="73"/>
      <c r="J752" s="73"/>
      <c r="K752" s="100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  <c r="AE752" s="73"/>
    </row>
    <row r="753">
      <c r="A753" s="73"/>
      <c r="B753" s="14"/>
      <c r="C753" s="14"/>
      <c r="D753" s="73"/>
      <c r="E753" s="73"/>
      <c r="F753" s="73"/>
      <c r="G753" s="73"/>
      <c r="H753" s="73"/>
      <c r="I753" s="73"/>
      <c r="J753" s="73"/>
      <c r="K753" s="100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</row>
    <row r="754">
      <c r="A754" s="73"/>
      <c r="B754" s="14"/>
      <c r="C754" s="14"/>
      <c r="D754" s="73"/>
      <c r="E754" s="73"/>
      <c r="F754" s="73"/>
      <c r="G754" s="73"/>
      <c r="H754" s="73"/>
      <c r="I754" s="73"/>
      <c r="J754" s="73"/>
      <c r="K754" s="100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  <c r="AE754" s="73"/>
    </row>
    <row r="755">
      <c r="A755" s="73"/>
      <c r="B755" s="14"/>
      <c r="C755" s="14"/>
      <c r="D755" s="73"/>
      <c r="E755" s="73"/>
      <c r="F755" s="73"/>
      <c r="G755" s="73"/>
      <c r="H755" s="73"/>
      <c r="I755" s="73"/>
      <c r="J755" s="73"/>
      <c r="K755" s="100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  <c r="AE755" s="73"/>
    </row>
    <row r="756">
      <c r="A756" s="73"/>
      <c r="B756" s="14"/>
      <c r="C756" s="14"/>
      <c r="D756" s="73"/>
      <c r="E756" s="73"/>
      <c r="F756" s="73"/>
      <c r="G756" s="73"/>
      <c r="H756" s="73"/>
      <c r="I756" s="73"/>
      <c r="J756" s="73"/>
      <c r="K756" s="100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  <c r="AE756" s="73"/>
    </row>
    <row r="757">
      <c r="A757" s="73"/>
      <c r="B757" s="14"/>
      <c r="C757" s="14"/>
      <c r="D757" s="73"/>
      <c r="E757" s="73"/>
      <c r="F757" s="73"/>
      <c r="G757" s="73"/>
      <c r="H757" s="73"/>
      <c r="I757" s="73"/>
      <c r="J757" s="73"/>
      <c r="K757" s="100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  <c r="AE757" s="73"/>
    </row>
    <row r="758">
      <c r="A758" s="73"/>
      <c r="B758" s="14"/>
      <c r="C758" s="14"/>
      <c r="D758" s="73"/>
      <c r="E758" s="73"/>
      <c r="F758" s="73"/>
      <c r="G758" s="73"/>
      <c r="H758" s="73"/>
      <c r="I758" s="73"/>
      <c r="J758" s="73"/>
      <c r="K758" s="100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  <c r="AE758" s="73"/>
    </row>
    <row r="759">
      <c r="A759" s="73"/>
      <c r="B759" s="14"/>
      <c r="C759" s="14"/>
      <c r="D759" s="73"/>
      <c r="E759" s="73"/>
      <c r="F759" s="73"/>
      <c r="G759" s="73"/>
      <c r="H759" s="73"/>
      <c r="I759" s="73"/>
      <c r="J759" s="73"/>
      <c r="K759" s="100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  <c r="AE759" s="73"/>
    </row>
    <row r="760">
      <c r="A760" s="73"/>
      <c r="B760" s="14"/>
      <c r="C760" s="14"/>
      <c r="D760" s="73"/>
      <c r="E760" s="73"/>
      <c r="F760" s="73"/>
      <c r="G760" s="73"/>
      <c r="H760" s="73"/>
      <c r="I760" s="73"/>
      <c r="J760" s="73"/>
      <c r="K760" s="100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  <c r="AE760" s="73"/>
    </row>
    <row r="761">
      <c r="A761" s="73"/>
      <c r="B761" s="14"/>
      <c r="C761" s="14"/>
      <c r="D761" s="73"/>
      <c r="E761" s="73"/>
      <c r="F761" s="73"/>
      <c r="G761" s="73"/>
      <c r="H761" s="73"/>
      <c r="I761" s="73"/>
      <c r="J761" s="73"/>
      <c r="K761" s="100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  <c r="AE761" s="73"/>
    </row>
    <row r="762">
      <c r="A762" s="73"/>
      <c r="B762" s="14"/>
      <c r="C762" s="14"/>
      <c r="D762" s="73"/>
      <c r="E762" s="73"/>
      <c r="F762" s="73"/>
      <c r="G762" s="73"/>
      <c r="H762" s="73"/>
      <c r="I762" s="73"/>
      <c r="J762" s="73"/>
      <c r="K762" s="100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  <c r="AE762" s="73"/>
    </row>
    <row r="763">
      <c r="A763" s="73"/>
      <c r="B763" s="14"/>
      <c r="C763" s="14"/>
      <c r="D763" s="73"/>
      <c r="E763" s="73"/>
      <c r="F763" s="73"/>
      <c r="G763" s="73"/>
      <c r="H763" s="73"/>
      <c r="I763" s="73"/>
      <c r="J763" s="73"/>
      <c r="K763" s="100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  <c r="AE763" s="73"/>
    </row>
    <row r="764">
      <c r="A764" s="73"/>
      <c r="B764" s="14"/>
      <c r="C764" s="14"/>
      <c r="D764" s="73"/>
      <c r="E764" s="73"/>
      <c r="F764" s="73"/>
      <c r="G764" s="73"/>
      <c r="H764" s="73"/>
      <c r="I764" s="73"/>
      <c r="J764" s="73"/>
      <c r="K764" s="100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  <c r="AE764" s="73"/>
    </row>
    <row r="765">
      <c r="A765" s="73"/>
      <c r="B765" s="14"/>
      <c r="C765" s="14"/>
      <c r="D765" s="73"/>
      <c r="E765" s="73"/>
      <c r="F765" s="73"/>
      <c r="G765" s="73"/>
      <c r="H765" s="73"/>
      <c r="I765" s="73"/>
      <c r="J765" s="73"/>
      <c r="K765" s="100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  <c r="AE765" s="73"/>
    </row>
    <row r="766">
      <c r="A766" s="73"/>
      <c r="B766" s="14"/>
      <c r="C766" s="14"/>
      <c r="D766" s="73"/>
      <c r="E766" s="73"/>
      <c r="F766" s="73"/>
      <c r="G766" s="73"/>
      <c r="H766" s="73"/>
      <c r="I766" s="73"/>
      <c r="J766" s="73"/>
      <c r="K766" s="100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  <c r="AE766" s="73"/>
    </row>
    <row r="767">
      <c r="A767" s="73"/>
      <c r="B767" s="14"/>
      <c r="C767" s="14"/>
      <c r="D767" s="73"/>
      <c r="E767" s="73"/>
      <c r="F767" s="73"/>
      <c r="G767" s="73"/>
      <c r="H767" s="73"/>
      <c r="I767" s="73"/>
      <c r="J767" s="73"/>
      <c r="K767" s="100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  <c r="AE767" s="73"/>
    </row>
    <row r="768">
      <c r="A768" s="73"/>
      <c r="B768" s="14"/>
      <c r="C768" s="14"/>
      <c r="D768" s="73"/>
      <c r="E768" s="73"/>
      <c r="F768" s="73"/>
      <c r="G768" s="73"/>
      <c r="H768" s="73"/>
      <c r="I768" s="73"/>
      <c r="J768" s="73"/>
      <c r="K768" s="100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  <c r="AE768" s="73"/>
    </row>
    <row r="769">
      <c r="A769" s="73"/>
      <c r="B769" s="14"/>
      <c r="C769" s="14"/>
      <c r="D769" s="73"/>
      <c r="E769" s="73"/>
      <c r="F769" s="73"/>
      <c r="G769" s="73"/>
      <c r="H769" s="73"/>
      <c r="I769" s="73"/>
      <c r="J769" s="73"/>
      <c r="K769" s="100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  <c r="AE769" s="73"/>
    </row>
    <row r="770">
      <c r="A770" s="73"/>
      <c r="B770" s="14"/>
      <c r="C770" s="14"/>
      <c r="D770" s="73"/>
      <c r="E770" s="73"/>
      <c r="F770" s="73"/>
      <c r="G770" s="73"/>
      <c r="H770" s="73"/>
      <c r="I770" s="73"/>
      <c r="J770" s="73"/>
      <c r="K770" s="100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  <c r="AE770" s="73"/>
    </row>
    <row r="771">
      <c r="A771" s="73"/>
      <c r="B771" s="14"/>
      <c r="C771" s="14"/>
      <c r="D771" s="73"/>
      <c r="E771" s="73"/>
      <c r="F771" s="73"/>
      <c r="G771" s="73"/>
      <c r="H771" s="73"/>
      <c r="I771" s="73"/>
      <c r="J771" s="73"/>
      <c r="K771" s="100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  <c r="AE771" s="73"/>
    </row>
    <row r="772">
      <c r="A772" s="73"/>
      <c r="B772" s="14"/>
      <c r="C772" s="14"/>
      <c r="D772" s="73"/>
      <c r="E772" s="73"/>
      <c r="F772" s="73"/>
      <c r="G772" s="73"/>
      <c r="H772" s="73"/>
      <c r="I772" s="73"/>
      <c r="J772" s="73"/>
      <c r="K772" s="100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  <c r="AE772" s="73"/>
    </row>
    <row r="773">
      <c r="A773" s="73"/>
      <c r="B773" s="14"/>
      <c r="C773" s="14"/>
      <c r="D773" s="73"/>
      <c r="E773" s="73"/>
      <c r="F773" s="73"/>
      <c r="G773" s="73"/>
      <c r="H773" s="73"/>
      <c r="I773" s="73"/>
      <c r="J773" s="73"/>
      <c r="K773" s="100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  <c r="AE773" s="73"/>
    </row>
    <row r="774">
      <c r="A774" s="73"/>
      <c r="B774" s="14"/>
      <c r="C774" s="14"/>
      <c r="D774" s="73"/>
      <c r="E774" s="73"/>
      <c r="F774" s="73"/>
      <c r="G774" s="73"/>
      <c r="H774" s="73"/>
      <c r="I774" s="73"/>
      <c r="J774" s="73"/>
      <c r="K774" s="100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  <c r="AE774" s="73"/>
    </row>
    <row r="775">
      <c r="A775" s="73"/>
      <c r="B775" s="14"/>
      <c r="C775" s="14"/>
      <c r="D775" s="73"/>
      <c r="E775" s="73"/>
      <c r="F775" s="73"/>
      <c r="G775" s="73"/>
      <c r="H775" s="73"/>
      <c r="I775" s="73"/>
      <c r="J775" s="73"/>
      <c r="K775" s="100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  <c r="AE775" s="73"/>
    </row>
    <row r="776">
      <c r="A776" s="73"/>
      <c r="B776" s="14"/>
      <c r="C776" s="14"/>
      <c r="D776" s="73"/>
      <c r="E776" s="73"/>
      <c r="F776" s="73"/>
      <c r="G776" s="73"/>
      <c r="H776" s="73"/>
      <c r="I776" s="73"/>
      <c r="J776" s="73"/>
      <c r="K776" s="100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  <c r="AE776" s="73"/>
    </row>
    <row r="777">
      <c r="A777" s="73"/>
      <c r="B777" s="14"/>
      <c r="C777" s="14"/>
      <c r="D777" s="73"/>
      <c r="E777" s="73"/>
      <c r="F777" s="73"/>
      <c r="G777" s="73"/>
      <c r="H777" s="73"/>
      <c r="I777" s="73"/>
      <c r="J777" s="73"/>
      <c r="K777" s="100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  <c r="AE777" s="73"/>
    </row>
    <row r="778">
      <c r="A778" s="73"/>
      <c r="B778" s="14"/>
      <c r="C778" s="14"/>
      <c r="D778" s="73"/>
      <c r="E778" s="73"/>
      <c r="F778" s="73"/>
      <c r="G778" s="73"/>
      <c r="H778" s="73"/>
      <c r="I778" s="73"/>
      <c r="J778" s="73"/>
      <c r="K778" s="100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  <c r="AE778" s="73"/>
    </row>
    <row r="779">
      <c r="A779" s="73"/>
      <c r="B779" s="14"/>
      <c r="C779" s="14"/>
      <c r="D779" s="73"/>
      <c r="E779" s="73"/>
      <c r="F779" s="73"/>
      <c r="G779" s="73"/>
      <c r="H779" s="73"/>
      <c r="I779" s="73"/>
      <c r="J779" s="73"/>
      <c r="K779" s="100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  <c r="AE779" s="73"/>
    </row>
    <row r="780">
      <c r="A780" s="73"/>
      <c r="B780" s="14"/>
      <c r="C780" s="14"/>
      <c r="D780" s="73"/>
      <c r="E780" s="73"/>
      <c r="F780" s="73"/>
      <c r="G780" s="73"/>
      <c r="H780" s="73"/>
      <c r="I780" s="73"/>
      <c r="J780" s="73"/>
      <c r="K780" s="100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  <c r="AE780" s="73"/>
    </row>
    <row r="781">
      <c r="A781" s="73"/>
      <c r="B781" s="14"/>
      <c r="C781" s="14"/>
      <c r="D781" s="73"/>
      <c r="E781" s="73"/>
      <c r="F781" s="73"/>
      <c r="G781" s="73"/>
      <c r="H781" s="73"/>
      <c r="I781" s="73"/>
      <c r="J781" s="73"/>
      <c r="K781" s="100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  <c r="AE781" s="73"/>
    </row>
    <row r="782">
      <c r="A782" s="73"/>
      <c r="B782" s="14"/>
      <c r="C782" s="14"/>
      <c r="D782" s="73"/>
      <c r="E782" s="73"/>
      <c r="F782" s="73"/>
      <c r="G782" s="73"/>
      <c r="H782" s="73"/>
      <c r="I782" s="73"/>
      <c r="J782" s="73"/>
      <c r="K782" s="100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  <c r="AE782" s="73"/>
    </row>
    <row r="783">
      <c r="A783" s="73"/>
      <c r="B783" s="14"/>
      <c r="C783" s="14"/>
      <c r="D783" s="73"/>
      <c r="E783" s="73"/>
      <c r="F783" s="73"/>
      <c r="G783" s="73"/>
      <c r="H783" s="73"/>
      <c r="I783" s="73"/>
      <c r="J783" s="73"/>
      <c r="K783" s="100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  <c r="AE783" s="73"/>
    </row>
    <row r="784">
      <c r="A784" s="73"/>
      <c r="B784" s="14"/>
      <c r="C784" s="14"/>
      <c r="D784" s="73"/>
      <c r="E784" s="73"/>
      <c r="F784" s="73"/>
      <c r="G784" s="73"/>
      <c r="H784" s="73"/>
      <c r="I784" s="73"/>
      <c r="J784" s="73"/>
      <c r="K784" s="100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  <c r="AE784" s="73"/>
    </row>
    <row r="785">
      <c r="A785" s="73"/>
      <c r="B785" s="14"/>
      <c r="C785" s="14"/>
      <c r="D785" s="73"/>
      <c r="E785" s="73"/>
      <c r="F785" s="73"/>
      <c r="G785" s="73"/>
      <c r="H785" s="73"/>
      <c r="I785" s="73"/>
      <c r="J785" s="73"/>
      <c r="K785" s="100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  <c r="AE785" s="73"/>
    </row>
    <row r="786">
      <c r="A786" s="73"/>
      <c r="B786" s="14"/>
      <c r="C786" s="14"/>
      <c r="D786" s="73"/>
      <c r="E786" s="73"/>
      <c r="F786" s="73"/>
      <c r="G786" s="73"/>
      <c r="H786" s="73"/>
      <c r="I786" s="73"/>
      <c r="J786" s="73"/>
      <c r="K786" s="100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  <c r="AE786" s="73"/>
    </row>
    <row r="787">
      <c r="A787" s="73"/>
      <c r="B787" s="14"/>
      <c r="C787" s="14"/>
      <c r="D787" s="73"/>
      <c r="E787" s="73"/>
      <c r="F787" s="73"/>
      <c r="G787" s="73"/>
      <c r="H787" s="73"/>
      <c r="I787" s="73"/>
      <c r="J787" s="73"/>
      <c r="K787" s="100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  <c r="AE787" s="73"/>
    </row>
    <row r="788">
      <c r="A788" s="73"/>
      <c r="B788" s="14"/>
      <c r="C788" s="14"/>
      <c r="D788" s="73"/>
      <c r="E788" s="73"/>
      <c r="F788" s="73"/>
      <c r="G788" s="73"/>
      <c r="H788" s="73"/>
      <c r="I788" s="73"/>
      <c r="J788" s="73"/>
      <c r="K788" s="100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  <c r="AE788" s="73"/>
    </row>
    <row r="789">
      <c r="A789" s="73"/>
      <c r="B789" s="14"/>
      <c r="C789" s="14"/>
      <c r="D789" s="73"/>
      <c r="E789" s="73"/>
      <c r="F789" s="73"/>
      <c r="G789" s="73"/>
      <c r="H789" s="73"/>
      <c r="I789" s="73"/>
      <c r="J789" s="73"/>
      <c r="K789" s="100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</row>
    <row r="790">
      <c r="A790" s="73"/>
      <c r="B790" s="14"/>
      <c r="C790" s="14"/>
      <c r="D790" s="73"/>
      <c r="E790" s="73"/>
      <c r="F790" s="73"/>
      <c r="G790" s="73"/>
      <c r="H790" s="73"/>
      <c r="I790" s="73"/>
      <c r="J790" s="73"/>
      <c r="K790" s="100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  <c r="AE790" s="73"/>
    </row>
    <row r="791">
      <c r="A791" s="73"/>
      <c r="B791" s="14"/>
      <c r="C791" s="14"/>
      <c r="D791" s="73"/>
      <c r="E791" s="73"/>
      <c r="F791" s="73"/>
      <c r="G791" s="73"/>
      <c r="H791" s="73"/>
      <c r="I791" s="73"/>
      <c r="J791" s="73"/>
      <c r="K791" s="100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  <c r="AE791" s="73"/>
    </row>
    <row r="792">
      <c r="A792" s="73"/>
      <c r="B792" s="14"/>
      <c r="C792" s="14"/>
      <c r="D792" s="73"/>
      <c r="E792" s="73"/>
      <c r="F792" s="73"/>
      <c r="G792" s="73"/>
      <c r="H792" s="73"/>
      <c r="I792" s="73"/>
      <c r="J792" s="73"/>
      <c r="K792" s="100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  <c r="AE792" s="73"/>
    </row>
    <row r="793">
      <c r="A793" s="73"/>
      <c r="B793" s="14"/>
      <c r="C793" s="14"/>
      <c r="D793" s="73"/>
      <c r="E793" s="73"/>
      <c r="F793" s="73"/>
      <c r="G793" s="73"/>
      <c r="H793" s="73"/>
      <c r="I793" s="73"/>
      <c r="J793" s="73"/>
      <c r="K793" s="100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  <c r="AE793" s="73"/>
    </row>
    <row r="794">
      <c r="A794" s="73"/>
      <c r="B794" s="14"/>
      <c r="C794" s="14"/>
      <c r="D794" s="73"/>
      <c r="E794" s="73"/>
      <c r="F794" s="73"/>
      <c r="G794" s="73"/>
      <c r="H794" s="73"/>
      <c r="I794" s="73"/>
      <c r="J794" s="73"/>
      <c r="K794" s="100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  <c r="AE794" s="73"/>
    </row>
    <row r="795">
      <c r="A795" s="73"/>
      <c r="B795" s="14"/>
      <c r="C795" s="14"/>
      <c r="D795" s="73"/>
      <c r="E795" s="73"/>
      <c r="F795" s="73"/>
      <c r="G795" s="73"/>
      <c r="H795" s="73"/>
      <c r="I795" s="73"/>
      <c r="J795" s="73"/>
      <c r="K795" s="100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  <c r="AE795" s="73"/>
    </row>
    <row r="796">
      <c r="A796" s="73"/>
      <c r="B796" s="14"/>
      <c r="C796" s="14"/>
      <c r="D796" s="73"/>
      <c r="E796" s="73"/>
      <c r="F796" s="73"/>
      <c r="G796" s="73"/>
      <c r="H796" s="73"/>
      <c r="I796" s="73"/>
      <c r="J796" s="73"/>
      <c r="K796" s="100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  <c r="AE796" s="73"/>
    </row>
    <row r="797">
      <c r="A797" s="73"/>
      <c r="B797" s="14"/>
      <c r="C797" s="14"/>
      <c r="D797" s="73"/>
      <c r="E797" s="73"/>
      <c r="F797" s="73"/>
      <c r="G797" s="73"/>
      <c r="H797" s="73"/>
      <c r="I797" s="73"/>
      <c r="J797" s="73"/>
      <c r="K797" s="100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  <c r="AE797" s="73"/>
    </row>
    <row r="798">
      <c r="A798" s="73"/>
      <c r="B798" s="14"/>
      <c r="C798" s="14"/>
      <c r="D798" s="73"/>
      <c r="E798" s="73"/>
      <c r="F798" s="73"/>
      <c r="G798" s="73"/>
      <c r="H798" s="73"/>
      <c r="I798" s="73"/>
      <c r="J798" s="73"/>
      <c r="K798" s="100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  <c r="AE798" s="73"/>
    </row>
    <row r="799">
      <c r="A799" s="73"/>
      <c r="B799" s="14"/>
      <c r="C799" s="14"/>
      <c r="D799" s="73"/>
      <c r="E799" s="73"/>
      <c r="F799" s="73"/>
      <c r="G799" s="73"/>
      <c r="H799" s="73"/>
      <c r="I799" s="73"/>
      <c r="J799" s="73"/>
      <c r="K799" s="100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  <c r="AE799" s="73"/>
    </row>
    <row r="800">
      <c r="A800" s="73"/>
      <c r="B800" s="14"/>
      <c r="C800" s="14"/>
      <c r="D800" s="73"/>
      <c r="E800" s="73"/>
      <c r="F800" s="73"/>
      <c r="G800" s="73"/>
      <c r="H800" s="73"/>
      <c r="I800" s="73"/>
      <c r="J800" s="73"/>
      <c r="K800" s="100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  <c r="AE800" s="73"/>
    </row>
    <row r="801">
      <c r="A801" s="73"/>
      <c r="B801" s="14"/>
      <c r="C801" s="14"/>
      <c r="D801" s="73"/>
      <c r="E801" s="73"/>
      <c r="F801" s="73"/>
      <c r="G801" s="73"/>
      <c r="H801" s="73"/>
      <c r="I801" s="73"/>
      <c r="J801" s="73"/>
      <c r="K801" s="100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  <c r="AE801" s="73"/>
    </row>
    <row r="802">
      <c r="A802" s="73"/>
      <c r="B802" s="14"/>
      <c r="C802" s="14"/>
      <c r="D802" s="73"/>
      <c r="E802" s="73"/>
      <c r="F802" s="73"/>
      <c r="G802" s="73"/>
      <c r="H802" s="73"/>
      <c r="I802" s="73"/>
      <c r="J802" s="73"/>
      <c r="K802" s="100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  <c r="AE802" s="73"/>
    </row>
    <row r="803">
      <c r="A803" s="73"/>
      <c r="B803" s="14"/>
      <c r="C803" s="14"/>
      <c r="D803" s="73"/>
      <c r="E803" s="73"/>
      <c r="F803" s="73"/>
      <c r="G803" s="73"/>
      <c r="H803" s="73"/>
      <c r="I803" s="73"/>
      <c r="J803" s="73"/>
      <c r="K803" s="100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  <c r="AE803" s="73"/>
    </row>
    <row r="804">
      <c r="A804" s="73"/>
      <c r="B804" s="14"/>
      <c r="C804" s="14"/>
      <c r="D804" s="73"/>
      <c r="E804" s="73"/>
      <c r="F804" s="73"/>
      <c r="G804" s="73"/>
      <c r="H804" s="73"/>
      <c r="I804" s="73"/>
      <c r="J804" s="73"/>
      <c r="K804" s="100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  <c r="AE804" s="73"/>
    </row>
    <row r="805">
      <c r="A805" s="73"/>
      <c r="B805" s="14"/>
      <c r="C805" s="14"/>
      <c r="D805" s="73"/>
      <c r="E805" s="73"/>
      <c r="F805" s="73"/>
      <c r="G805" s="73"/>
      <c r="H805" s="73"/>
      <c r="I805" s="73"/>
      <c r="J805" s="73"/>
      <c r="K805" s="100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  <c r="AE805" s="73"/>
    </row>
    <row r="806">
      <c r="A806" s="73"/>
      <c r="B806" s="14"/>
      <c r="C806" s="14"/>
      <c r="D806" s="73"/>
      <c r="E806" s="73"/>
      <c r="F806" s="73"/>
      <c r="G806" s="73"/>
      <c r="H806" s="73"/>
      <c r="I806" s="73"/>
      <c r="J806" s="73"/>
      <c r="K806" s="100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  <c r="AE806" s="73"/>
    </row>
    <row r="807">
      <c r="A807" s="73"/>
      <c r="B807" s="14"/>
      <c r="C807" s="14"/>
      <c r="D807" s="73"/>
      <c r="E807" s="73"/>
      <c r="F807" s="73"/>
      <c r="G807" s="73"/>
      <c r="H807" s="73"/>
      <c r="I807" s="73"/>
      <c r="J807" s="73"/>
      <c r="K807" s="100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  <c r="AE807" s="73"/>
    </row>
    <row r="808">
      <c r="A808" s="73"/>
      <c r="B808" s="14"/>
      <c r="C808" s="14"/>
      <c r="D808" s="73"/>
      <c r="E808" s="73"/>
      <c r="F808" s="73"/>
      <c r="G808" s="73"/>
      <c r="H808" s="73"/>
      <c r="I808" s="73"/>
      <c r="J808" s="73"/>
      <c r="K808" s="100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  <c r="AE808" s="73"/>
    </row>
    <row r="809">
      <c r="A809" s="73"/>
      <c r="B809" s="14"/>
      <c r="C809" s="14"/>
      <c r="D809" s="73"/>
      <c r="E809" s="73"/>
      <c r="F809" s="73"/>
      <c r="G809" s="73"/>
      <c r="H809" s="73"/>
      <c r="I809" s="73"/>
      <c r="J809" s="73"/>
      <c r="K809" s="100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  <c r="AE809" s="73"/>
    </row>
    <row r="810">
      <c r="A810" s="73"/>
      <c r="B810" s="14"/>
      <c r="C810" s="14"/>
      <c r="D810" s="73"/>
      <c r="E810" s="73"/>
      <c r="F810" s="73"/>
      <c r="G810" s="73"/>
      <c r="H810" s="73"/>
      <c r="I810" s="73"/>
      <c r="J810" s="73"/>
      <c r="K810" s="100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  <c r="AE810" s="73"/>
    </row>
    <row r="811">
      <c r="A811" s="73"/>
      <c r="B811" s="14"/>
      <c r="C811" s="14"/>
      <c r="D811" s="73"/>
      <c r="E811" s="73"/>
      <c r="F811" s="73"/>
      <c r="G811" s="73"/>
      <c r="H811" s="73"/>
      <c r="I811" s="73"/>
      <c r="J811" s="73"/>
      <c r="K811" s="100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  <c r="AE811" s="73"/>
    </row>
    <row r="812">
      <c r="A812" s="73"/>
      <c r="B812" s="14"/>
      <c r="C812" s="14"/>
      <c r="D812" s="73"/>
      <c r="E812" s="73"/>
      <c r="F812" s="73"/>
      <c r="G812" s="73"/>
      <c r="H812" s="73"/>
      <c r="I812" s="73"/>
      <c r="J812" s="73"/>
      <c r="K812" s="100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  <c r="AE812" s="73"/>
    </row>
    <row r="813">
      <c r="A813" s="73"/>
      <c r="B813" s="14"/>
      <c r="C813" s="14"/>
      <c r="D813" s="73"/>
      <c r="E813" s="73"/>
      <c r="F813" s="73"/>
      <c r="G813" s="73"/>
      <c r="H813" s="73"/>
      <c r="I813" s="73"/>
      <c r="J813" s="73"/>
      <c r="K813" s="100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  <c r="AE813" s="73"/>
    </row>
    <row r="814">
      <c r="A814" s="73"/>
      <c r="B814" s="14"/>
      <c r="C814" s="14"/>
      <c r="D814" s="73"/>
      <c r="E814" s="73"/>
      <c r="F814" s="73"/>
      <c r="G814" s="73"/>
      <c r="H814" s="73"/>
      <c r="I814" s="73"/>
      <c r="J814" s="73"/>
      <c r="K814" s="100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  <c r="AE814" s="73"/>
    </row>
    <row r="815">
      <c r="A815" s="73"/>
      <c r="B815" s="14"/>
      <c r="C815" s="14"/>
      <c r="D815" s="73"/>
      <c r="E815" s="73"/>
      <c r="F815" s="73"/>
      <c r="G815" s="73"/>
      <c r="H815" s="73"/>
      <c r="I815" s="73"/>
      <c r="J815" s="73"/>
      <c r="K815" s="100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  <c r="AE815" s="73"/>
    </row>
    <row r="816">
      <c r="A816" s="73"/>
      <c r="B816" s="14"/>
      <c r="C816" s="14"/>
      <c r="D816" s="73"/>
      <c r="E816" s="73"/>
      <c r="F816" s="73"/>
      <c r="G816" s="73"/>
      <c r="H816" s="73"/>
      <c r="I816" s="73"/>
      <c r="J816" s="73"/>
      <c r="K816" s="100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  <c r="AE816" s="73"/>
    </row>
    <row r="817">
      <c r="A817" s="73"/>
      <c r="B817" s="14"/>
      <c r="C817" s="14"/>
      <c r="D817" s="73"/>
      <c r="E817" s="73"/>
      <c r="F817" s="73"/>
      <c r="G817" s="73"/>
      <c r="H817" s="73"/>
      <c r="I817" s="73"/>
      <c r="J817" s="73"/>
      <c r="K817" s="100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  <c r="AE817" s="73"/>
    </row>
    <row r="818">
      <c r="A818" s="73"/>
      <c r="B818" s="14"/>
      <c r="C818" s="14"/>
      <c r="D818" s="73"/>
      <c r="E818" s="73"/>
      <c r="F818" s="73"/>
      <c r="G818" s="73"/>
      <c r="H818" s="73"/>
      <c r="I818" s="73"/>
      <c r="J818" s="73"/>
      <c r="K818" s="100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  <c r="AE818" s="73"/>
    </row>
    <row r="819">
      <c r="A819" s="73"/>
      <c r="B819" s="14"/>
      <c r="C819" s="14"/>
      <c r="D819" s="73"/>
      <c r="E819" s="73"/>
      <c r="F819" s="73"/>
      <c r="G819" s="73"/>
      <c r="H819" s="73"/>
      <c r="I819" s="73"/>
      <c r="J819" s="73"/>
      <c r="K819" s="100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  <c r="AE819" s="73"/>
    </row>
    <row r="820">
      <c r="A820" s="73"/>
      <c r="B820" s="14"/>
      <c r="C820" s="14"/>
      <c r="D820" s="73"/>
      <c r="E820" s="73"/>
      <c r="F820" s="73"/>
      <c r="G820" s="73"/>
      <c r="H820" s="73"/>
      <c r="I820" s="73"/>
      <c r="J820" s="73"/>
      <c r="K820" s="100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  <c r="AE820" s="73"/>
    </row>
    <row r="821">
      <c r="A821" s="73"/>
      <c r="B821" s="14"/>
      <c r="C821" s="14"/>
      <c r="D821" s="73"/>
      <c r="E821" s="73"/>
      <c r="F821" s="73"/>
      <c r="G821" s="73"/>
      <c r="H821" s="73"/>
      <c r="I821" s="73"/>
      <c r="J821" s="73"/>
      <c r="K821" s="100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  <c r="AE821" s="73"/>
    </row>
    <row r="822">
      <c r="A822" s="73"/>
      <c r="B822" s="14"/>
      <c r="C822" s="14"/>
      <c r="D822" s="73"/>
      <c r="E822" s="73"/>
      <c r="F822" s="73"/>
      <c r="G822" s="73"/>
      <c r="H822" s="73"/>
      <c r="I822" s="73"/>
      <c r="J822" s="73"/>
      <c r="K822" s="100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  <c r="AE822" s="73"/>
    </row>
    <row r="823">
      <c r="A823" s="73"/>
      <c r="B823" s="14"/>
      <c r="C823" s="14"/>
      <c r="D823" s="73"/>
      <c r="E823" s="73"/>
      <c r="F823" s="73"/>
      <c r="G823" s="73"/>
      <c r="H823" s="73"/>
      <c r="I823" s="73"/>
      <c r="J823" s="73"/>
      <c r="K823" s="100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  <c r="AE823" s="73"/>
    </row>
    <row r="824">
      <c r="A824" s="73"/>
      <c r="B824" s="14"/>
      <c r="C824" s="14"/>
      <c r="D824" s="73"/>
      <c r="E824" s="73"/>
      <c r="F824" s="73"/>
      <c r="G824" s="73"/>
      <c r="H824" s="73"/>
      <c r="I824" s="73"/>
      <c r="J824" s="73"/>
      <c r="K824" s="100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  <c r="AE824" s="73"/>
    </row>
    <row r="825">
      <c r="A825" s="73"/>
      <c r="B825" s="14"/>
      <c r="C825" s="14"/>
      <c r="D825" s="73"/>
      <c r="E825" s="73"/>
      <c r="F825" s="73"/>
      <c r="G825" s="73"/>
      <c r="H825" s="73"/>
      <c r="I825" s="73"/>
      <c r="J825" s="73"/>
      <c r="K825" s="100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  <c r="AE825" s="73"/>
    </row>
    <row r="826">
      <c r="A826" s="73"/>
      <c r="B826" s="14"/>
      <c r="C826" s="14"/>
      <c r="D826" s="73"/>
      <c r="E826" s="73"/>
      <c r="F826" s="73"/>
      <c r="G826" s="73"/>
      <c r="H826" s="73"/>
      <c r="I826" s="73"/>
      <c r="J826" s="73"/>
      <c r="K826" s="100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  <c r="AE826" s="73"/>
    </row>
    <row r="827">
      <c r="A827" s="73"/>
      <c r="B827" s="14"/>
      <c r="C827" s="14"/>
      <c r="D827" s="73"/>
      <c r="E827" s="73"/>
      <c r="F827" s="73"/>
      <c r="G827" s="73"/>
      <c r="H827" s="73"/>
      <c r="I827" s="73"/>
      <c r="J827" s="73"/>
      <c r="K827" s="100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  <c r="AE827" s="73"/>
    </row>
    <row r="828">
      <c r="A828" s="73"/>
      <c r="B828" s="14"/>
      <c r="C828" s="14"/>
      <c r="D828" s="73"/>
      <c r="E828" s="73"/>
      <c r="F828" s="73"/>
      <c r="G828" s="73"/>
      <c r="H828" s="73"/>
      <c r="I828" s="73"/>
      <c r="J828" s="73"/>
      <c r="K828" s="100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  <c r="AE828" s="73"/>
    </row>
    <row r="829">
      <c r="A829" s="73"/>
      <c r="B829" s="14"/>
      <c r="C829" s="14"/>
      <c r="D829" s="73"/>
      <c r="E829" s="73"/>
      <c r="F829" s="73"/>
      <c r="G829" s="73"/>
      <c r="H829" s="73"/>
      <c r="I829" s="73"/>
      <c r="J829" s="73"/>
      <c r="K829" s="100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  <c r="AE829" s="73"/>
    </row>
    <row r="830">
      <c r="A830" s="73"/>
      <c r="B830" s="14"/>
      <c r="C830" s="14"/>
      <c r="D830" s="73"/>
      <c r="E830" s="73"/>
      <c r="F830" s="73"/>
      <c r="G830" s="73"/>
      <c r="H830" s="73"/>
      <c r="I830" s="73"/>
      <c r="J830" s="73"/>
      <c r="K830" s="100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  <c r="AE830" s="73"/>
    </row>
    <row r="831">
      <c r="A831" s="73"/>
      <c r="B831" s="14"/>
      <c r="C831" s="14"/>
      <c r="D831" s="73"/>
      <c r="E831" s="73"/>
      <c r="F831" s="73"/>
      <c r="G831" s="73"/>
      <c r="H831" s="73"/>
      <c r="I831" s="73"/>
      <c r="J831" s="73"/>
      <c r="K831" s="100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  <c r="AE831" s="73"/>
    </row>
    <row r="832">
      <c r="A832" s="73"/>
      <c r="B832" s="14"/>
      <c r="C832" s="14"/>
      <c r="D832" s="73"/>
      <c r="E832" s="73"/>
      <c r="F832" s="73"/>
      <c r="G832" s="73"/>
      <c r="H832" s="73"/>
      <c r="I832" s="73"/>
      <c r="J832" s="73"/>
      <c r="K832" s="100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  <c r="AE832" s="73"/>
    </row>
    <row r="833">
      <c r="A833" s="73"/>
      <c r="B833" s="14"/>
      <c r="C833" s="14"/>
      <c r="D833" s="73"/>
      <c r="E833" s="73"/>
      <c r="F833" s="73"/>
      <c r="G833" s="73"/>
      <c r="H833" s="73"/>
      <c r="I833" s="73"/>
      <c r="J833" s="73"/>
      <c r="K833" s="100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  <c r="AE833" s="73"/>
    </row>
    <row r="834">
      <c r="A834" s="73"/>
      <c r="B834" s="14"/>
      <c r="C834" s="14"/>
      <c r="D834" s="73"/>
      <c r="E834" s="73"/>
      <c r="F834" s="73"/>
      <c r="G834" s="73"/>
      <c r="H834" s="73"/>
      <c r="I834" s="73"/>
      <c r="J834" s="73"/>
      <c r="K834" s="100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  <c r="AE834" s="73"/>
    </row>
    <row r="835">
      <c r="A835" s="73"/>
      <c r="B835" s="14"/>
      <c r="C835" s="14"/>
      <c r="D835" s="73"/>
      <c r="E835" s="73"/>
      <c r="F835" s="73"/>
      <c r="G835" s="73"/>
      <c r="H835" s="73"/>
      <c r="I835" s="73"/>
      <c r="J835" s="73"/>
      <c r="K835" s="100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  <c r="AE835" s="73"/>
    </row>
    <row r="836">
      <c r="A836" s="73"/>
      <c r="B836" s="14"/>
      <c r="C836" s="14"/>
      <c r="D836" s="73"/>
      <c r="E836" s="73"/>
      <c r="F836" s="73"/>
      <c r="G836" s="73"/>
      <c r="H836" s="73"/>
      <c r="I836" s="73"/>
      <c r="J836" s="73"/>
      <c r="K836" s="100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  <c r="AE836" s="73"/>
    </row>
    <row r="837">
      <c r="A837" s="73"/>
      <c r="B837" s="14"/>
      <c r="C837" s="14"/>
      <c r="D837" s="73"/>
      <c r="E837" s="73"/>
      <c r="F837" s="73"/>
      <c r="G837" s="73"/>
      <c r="H837" s="73"/>
      <c r="I837" s="73"/>
      <c r="J837" s="73"/>
      <c r="K837" s="100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  <c r="AE837" s="73"/>
    </row>
    <row r="838">
      <c r="A838" s="73"/>
      <c r="B838" s="14"/>
      <c r="C838" s="14"/>
      <c r="D838" s="73"/>
      <c r="E838" s="73"/>
      <c r="F838" s="73"/>
      <c r="G838" s="73"/>
      <c r="H838" s="73"/>
      <c r="I838" s="73"/>
      <c r="J838" s="73"/>
      <c r="K838" s="100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  <c r="AE838" s="73"/>
    </row>
    <row r="839">
      <c r="A839" s="73"/>
      <c r="B839" s="14"/>
      <c r="C839" s="14"/>
      <c r="D839" s="73"/>
      <c r="E839" s="73"/>
      <c r="F839" s="73"/>
      <c r="G839" s="73"/>
      <c r="H839" s="73"/>
      <c r="I839" s="73"/>
      <c r="J839" s="73"/>
      <c r="K839" s="100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  <c r="AE839" s="73"/>
    </row>
    <row r="840">
      <c r="A840" s="73"/>
      <c r="B840" s="14"/>
      <c r="C840" s="14"/>
      <c r="D840" s="73"/>
      <c r="E840" s="73"/>
      <c r="F840" s="73"/>
      <c r="G840" s="73"/>
      <c r="H840" s="73"/>
      <c r="I840" s="73"/>
      <c r="J840" s="73"/>
      <c r="K840" s="100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  <c r="AE840" s="73"/>
    </row>
    <row r="841">
      <c r="A841" s="73"/>
      <c r="B841" s="14"/>
      <c r="C841" s="14"/>
      <c r="D841" s="73"/>
      <c r="E841" s="73"/>
      <c r="F841" s="73"/>
      <c r="G841" s="73"/>
      <c r="H841" s="73"/>
      <c r="I841" s="73"/>
      <c r="J841" s="73"/>
      <c r="K841" s="100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  <c r="AE841" s="73"/>
    </row>
    <row r="842">
      <c r="A842" s="73"/>
      <c r="B842" s="14"/>
      <c r="C842" s="14"/>
      <c r="D842" s="73"/>
      <c r="E842" s="73"/>
      <c r="F842" s="73"/>
      <c r="G842" s="73"/>
      <c r="H842" s="73"/>
      <c r="I842" s="73"/>
      <c r="J842" s="73"/>
      <c r="K842" s="100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  <c r="AE842" s="73"/>
    </row>
    <row r="843">
      <c r="A843" s="73"/>
      <c r="B843" s="14"/>
      <c r="C843" s="14"/>
      <c r="D843" s="73"/>
      <c r="E843" s="73"/>
      <c r="F843" s="73"/>
      <c r="G843" s="73"/>
      <c r="H843" s="73"/>
      <c r="I843" s="73"/>
      <c r="J843" s="73"/>
      <c r="K843" s="100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  <c r="AE843" s="73"/>
    </row>
    <row r="844">
      <c r="A844" s="73"/>
      <c r="B844" s="14"/>
      <c r="C844" s="14"/>
      <c r="D844" s="73"/>
      <c r="E844" s="73"/>
      <c r="F844" s="73"/>
      <c r="G844" s="73"/>
      <c r="H844" s="73"/>
      <c r="I844" s="73"/>
      <c r="J844" s="73"/>
      <c r="K844" s="100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  <c r="AE844" s="73"/>
    </row>
    <row r="845">
      <c r="A845" s="73"/>
      <c r="B845" s="14"/>
      <c r="C845" s="14"/>
      <c r="D845" s="73"/>
      <c r="E845" s="73"/>
      <c r="F845" s="73"/>
      <c r="G845" s="73"/>
      <c r="H845" s="73"/>
      <c r="I845" s="73"/>
      <c r="J845" s="73"/>
      <c r="K845" s="100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  <c r="AE845" s="73"/>
    </row>
    <row r="846">
      <c r="A846" s="73"/>
      <c r="B846" s="14"/>
      <c r="C846" s="14"/>
      <c r="D846" s="73"/>
      <c r="E846" s="73"/>
      <c r="F846" s="73"/>
      <c r="G846" s="73"/>
      <c r="H846" s="73"/>
      <c r="I846" s="73"/>
      <c r="J846" s="73"/>
      <c r="K846" s="100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  <c r="AE846" s="73"/>
    </row>
    <row r="847">
      <c r="A847" s="73"/>
      <c r="B847" s="14"/>
      <c r="C847" s="14"/>
      <c r="D847" s="73"/>
      <c r="E847" s="73"/>
      <c r="F847" s="73"/>
      <c r="G847" s="73"/>
      <c r="H847" s="73"/>
      <c r="I847" s="73"/>
      <c r="J847" s="73"/>
      <c r="K847" s="100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  <c r="AE847" s="73"/>
    </row>
    <row r="848">
      <c r="A848" s="73"/>
      <c r="B848" s="14"/>
      <c r="C848" s="14"/>
      <c r="D848" s="73"/>
      <c r="E848" s="73"/>
      <c r="F848" s="73"/>
      <c r="G848" s="73"/>
      <c r="H848" s="73"/>
      <c r="I848" s="73"/>
      <c r="J848" s="73"/>
      <c r="K848" s="100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  <c r="AE848" s="73"/>
    </row>
    <row r="849">
      <c r="A849" s="73"/>
      <c r="B849" s="14"/>
      <c r="C849" s="14"/>
      <c r="D849" s="73"/>
      <c r="E849" s="73"/>
      <c r="F849" s="73"/>
      <c r="G849" s="73"/>
      <c r="H849" s="73"/>
      <c r="I849" s="73"/>
      <c r="J849" s="73"/>
      <c r="K849" s="100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  <c r="AE849" s="73"/>
    </row>
    <row r="850">
      <c r="A850" s="73"/>
      <c r="B850" s="14"/>
      <c r="C850" s="14"/>
      <c r="D850" s="73"/>
      <c r="E850" s="73"/>
      <c r="F850" s="73"/>
      <c r="G850" s="73"/>
      <c r="H850" s="73"/>
      <c r="I850" s="73"/>
      <c r="J850" s="73"/>
      <c r="K850" s="100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  <c r="AE850" s="73"/>
    </row>
    <row r="851">
      <c r="A851" s="73"/>
      <c r="B851" s="14"/>
      <c r="C851" s="14"/>
      <c r="D851" s="73"/>
      <c r="E851" s="73"/>
      <c r="F851" s="73"/>
      <c r="G851" s="73"/>
      <c r="H851" s="73"/>
      <c r="I851" s="73"/>
      <c r="J851" s="73"/>
      <c r="K851" s="100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  <c r="AE851" s="73"/>
    </row>
    <row r="852">
      <c r="A852" s="73"/>
      <c r="B852" s="14"/>
      <c r="C852" s="14"/>
      <c r="D852" s="73"/>
      <c r="E852" s="73"/>
      <c r="F852" s="73"/>
      <c r="G852" s="73"/>
      <c r="H852" s="73"/>
      <c r="I852" s="73"/>
      <c r="J852" s="73"/>
      <c r="K852" s="100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  <c r="AE852" s="73"/>
    </row>
    <row r="853">
      <c r="A853" s="73"/>
      <c r="B853" s="14"/>
      <c r="C853" s="14"/>
      <c r="D853" s="73"/>
      <c r="E853" s="73"/>
      <c r="F853" s="73"/>
      <c r="G853" s="73"/>
      <c r="H853" s="73"/>
      <c r="I853" s="73"/>
      <c r="J853" s="73"/>
      <c r="K853" s="100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  <c r="AE853" s="73"/>
    </row>
    <row r="854">
      <c r="A854" s="73"/>
      <c r="B854" s="14"/>
      <c r="C854" s="14"/>
      <c r="D854" s="73"/>
      <c r="E854" s="73"/>
      <c r="F854" s="73"/>
      <c r="G854" s="73"/>
      <c r="H854" s="73"/>
      <c r="I854" s="73"/>
      <c r="J854" s="73"/>
      <c r="K854" s="100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  <c r="AE854" s="73"/>
    </row>
    <row r="855">
      <c r="A855" s="73"/>
      <c r="B855" s="14"/>
      <c r="C855" s="14"/>
      <c r="D855" s="73"/>
      <c r="E855" s="73"/>
      <c r="F855" s="73"/>
      <c r="G855" s="73"/>
      <c r="H855" s="73"/>
      <c r="I855" s="73"/>
      <c r="J855" s="73"/>
      <c r="K855" s="100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  <c r="AE855" s="73"/>
    </row>
    <row r="856">
      <c r="A856" s="73"/>
      <c r="B856" s="14"/>
      <c r="C856" s="14"/>
      <c r="D856" s="73"/>
      <c r="E856" s="73"/>
      <c r="F856" s="73"/>
      <c r="G856" s="73"/>
      <c r="H856" s="73"/>
      <c r="I856" s="73"/>
      <c r="J856" s="73"/>
      <c r="K856" s="100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  <c r="AE856" s="73"/>
    </row>
    <row r="857">
      <c r="A857" s="73"/>
      <c r="B857" s="14"/>
      <c r="C857" s="14"/>
      <c r="D857" s="73"/>
      <c r="E857" s="73"/>
      <c r="F857" s="73"/>
      <c r="G857" s="73"/>
      <c r="H857" s="73"/>
      <c r="I857" s="73"/>
      <c r="J857" s="73"/>
      <c r="K857" s="100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  <c r="AE857" s="73"/>
    </row>
    <row r="858">
      <c r="A858" s="73"/>
      <c r="B858" s="14"/>
      <c r="C858" s="14"/>
      <c r="D858" s="73"/>
      <c r="E858" s="73"/>
      <c r="F858" s="73"/>
      <c r="G858" s="73"/>
      <c r="H858" s="73"/>
      <c r="I858" s="73"/>
      <c r="J858" s="73"/>
      <c r="K858" s="100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  <c r="AE858" s="73"/>
    </row>
    <row r="859">
      <c r="A859" s="73"/>
      <c r="B859" s="14"/>
      <c r="C859" s="14"/>
      <c r="D859" s="73"/>
      <c r="E859" s="73"/>
      <c r="F859" s="73"/>
      <c r="G859" s="73"/>
      <c r="H859" s="73"/>
      <c r="I859" s="73"/>
      <c r="J859" s="73"/>
      <c r="K859" s="100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  <c r="AE859" s="73"/>
    </row>
    <row r="860">
      <c r="A860" s="73"/>
      <c r="B860" s="14"/>
      <c r="C860" s="14"/>
      <c r="D860" s="73"/>
      <c r="E860" s="73"/>
      <c r="F860" s="73"/>
      <c r="G860" s="73"/>
      <c r="H860" s="73"/>
      <c r="I860" s="73"/>
      <c r="J860" s="73"/>
      <c r="K860" s="100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  <c r="AE860" s="73"/>
    </row>
    <row r="861">
      <c r="A861" s="73"/>
      <c r="B861" s="14"/>
      <c r="C861" s="14"/>
      <c r="D861" s="73"/>
      <c r="E861" s="73"/>
      <c r="F861" s="73"/>
      <c r="G861" s="73"/>
      <c r="H861" s="73"/>
      <c r="I861" s="73"/>
      <c r="J861" s="73"/>
      <c r="K861" s="100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  <c r="AE861" s="73"/>
    </row>
    <row r="862">
      <c r="A862" s="73"/>
      <c r="B862" s="14"/>
      <c r="C862" s="14"/>
      <c r="D862" s="73"/>
      <c r="E862" s="73"/>
      <c r="F862" s="73"/>
      <c r="G862" s="73"/>
      <c r="H862" s="73"/>
      <c r="I862" s="73"/>
      <c r="J862" s="73"/>
      <c r="K862" s="100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  <c r="AE862" s="73"/>
    </row>
    <row r="863">
      <c r="A863" s="73"/>
      <c r="B863" s="14"/>
      <c r="C863" s="14"/>
      <c r="D863" s="73"/>
      <c r="E863" s="73"/>
      <c r="F863" s="73"/>
      <c r="G863" s="73"/>
      <c r="H863" s="73"/>
      <c r="I863" s="73"/>
      <c r="J863" s="73"/>
      <c r="K863" s="100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  <c r="AE863" s="73"/>
    </row>
    <row r="864">
      <c r="A864" s="73"/>
      <c r="B864" s="14"/>
      <c r="C864" s="14"/>
      <c r="D864" s="73"/>
      <c r="E864" s="73"/>
      <c r="F864" s="73"/>
      <c r="G864" s="73"/>
      <c r="H864" s="73"/>
      <c r="I864" s="73"/>
      <c r="J864" s="73"/>
      <c r="K864" s="100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  <c r="AE864" s="73"/>
    </row>
    <row r="865">
      <c r="A865" s="73"/>
      <c r="B865" s="14"/>
      <c r="C865" s="14"/>
      <c r="D865" s="73"/>
      <c r="E865" s="73"/>
      <c r="F865" s="73"/>
      <c r="G865" s="73"/>
      <c r="H865" s="73"/>
      <c r="I865" s="73"/>
      <c r="J865" s="73"/>
      <c r="K865" s="100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  <c r="AE865" s="73"/>
    </row>
    <row r="866">
      <c r="A866" s="73"/>
      <c r="B866" s="14"/>
      <c r="C866" s="14"/>
      <c r="D866" s="73"/>
      <c r="E866" s="73"/>
      <c r="F866" s="73"/>
      <c r="G866" s="73"/>
      <c r="H866" s="73"/>
      <c r="I866" s="73"/>
      <c r="J866" s="73"/>
      <c r="K866" s="100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  <c r="AE866" s="73"/>
    </row>
    <row r="867">
      <c r="A867" s="73"/>
      <c r="B867" s="14"/>
      <c r="C867" s="14"/>
      <c r="D867" s="73"/>
      <c r="E867" s="73"/>
      <c r="F867" s="73"/>
      <c r="G867" s="73"/>
      <c r="H867" s="73"/>
      <c r="I867" s="73"/>
      <c r="J867" s="73"/>
      <c r="K867" s="100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  <c r="AE867" s="73"/>
    </row>
    <row r="868">
      <c r="A868" s="73"/>
      <c r="B868" s="14"/>
      <c r="C868" s="14"/>
      <c r="D868" s="73"/>
      <c r="E868" s="73"/>
      <c r="F868" s="73"/>
      <c r="G868" s="73"/>
      <c r="H868" s="73"/>
      <c r="I868" s="73"/>
      <c r="J868" s="73"/>
      <c r="K868" s="100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  <c r="AE868" s="73"/>
    </row>
    <row r="869">
      <c r="A869" s="73"/>
      <c r="B869" s="14"/>
      <c r="C869" s="14"/>
      <c r="D869" s="73"/>
      <c r="E869" s="73"/>
      <c r="F869" s="73"/>
      <c r="G869" s="73"/>
      <c r="H869" s="73"/>
      <c r="I869" s="73"/>
      <c r="J869" s="73"/>
      <c r="K869" s="100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  <c r="AE869" s="73"/>
    </row>
    <row r="870">
      <c r="A870" s="73"/>
      <c r="B870" s="14"/>
      <c r="C870" s="14"/>
      <c r="D870" s="73"/>
      <c r="E870" s="73"/>
      <c r="F870" s="73"/>
      <c r="G870" s="73"/>
      <c r="H870" s="73"/>
      <c r="I870" s="73"/>
      <c r="J870" s="73"/>
      <c r="K870" s="100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  <c r="AE870" s="73"/>
    </row>
    <row r="871">
      <c r="A871" s="73"/>
      <c r="B871" s="14"/>
      <c r="C871" s="14"/>
      <c r="D871" s="73"/>
      <c r="E871" s="73"/>
      <c r="F871" s="73"/>
      <c r="G871" s="73"/>
      <c r="H871" s="73"/>
      <c r="I871" s="73"/>
      <c r="J871" s="73"/>
      <c r="K871" s="100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  <c r="AE871" s="73"/>
    </row>
    <row r="872">
      <c r="A872" s="73"/>
      <c r="B872" s="14"/>
      <c r="C872" s="14"/>
      <c r="D872" s="73"/>
      <c r="E872" s="73"/>
      <c r="F872" s="73"/>
      <c r="G872" s="73"/>
      <c r="H872" s="73"/>
      <c r="I872" s="73"/>
      <c r="J872" s="73"/>
      <c r="K872" s="100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  <c r="AE872" s="73"/>
    </row>
    <row r="873">
      <c r="A873" s="73"/>
      <c r="B873" s="14"/>
      <c r="C873" s="14"/>
      <c r="D873" s="73"/>
      <c r="E873" s="73"/>
      <c r="F873" s="73"/>
      <c r="G873" s="73"/>
      <c r="H873" s="73"/>
      <c r="I873" s="73"/>
      <c r="J873" s="73"/>
      <c r="K873" s="100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  <c r="AE873" s="73"/>
    </row>
    <row r="874">
      <c r="A874" s="73"/>
      <c r="B874" s="14"/>
      <c r="C874" s="14"/>
      <c r="D874" s="73"/>
      <c r="E874" s="73"/>
      <c r="F874" s="73"/>
      <c r="G874" s="73"/>
      <c r="H874" s="73"/>
      <c r="I874" s="73"/>
      <c r="J874" s="73"/>
      <c r="K874" s="100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  <c r="AE874" s="73"/>
    </row>
    <row r="875">
      <c r="A875" s="73"/>
      <c r="B875" s="14"/>
      <c r="C875" s="14"/>
      <c r="D875" s="73"/>
      <c r="E875" s="73"/>
      <c r="F875" s="73"/>
      <c r="G875" s="73"/>
      <c r="H875" s="73"/>
      <c r="I875" s="73"/>
      <c r="J875" s="73"/>
      <c r="K875" s="100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  <c r="AE875" s="73"/>
    </row>
    <row r="876">
      <c r="A876" s="73"/>
      <c r="B876" s="14"/>
      <c r="C876" s="14"/>
      <c r="D876" s="73"/>
      <c r="E876" s="73"/>
      <c r="F876" s="73"/>
      <c r="G876" s="73"/>
      <c r="H876" s="73"/>
      <c r="I876" s="73"/>
      <c r="J876" s="73"/>
      <c r="K876" s="100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  <c r="AE876" s="73"/>
    </row>
    <row r="877">
      <c r="A877" s="73"/>
      <c r="B877" s="14"/>
      <c r="C877" s="14"/>
      <c r="D877" s="73"/>
      <c r="E877" s="73"/>
      <c r="F877" s="73"/>
      <c r="G877" s="73"/>
      <c r="H877" s="73"/>
      <c r="I877" s="73"/>
      <c r="J877" s="73"/>
      <c r="K877" s="100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  <c r="AE877" s="73"/>
    </row>
    <row r="878">
      <c r="A878" s="73"/>
      <c r="B878" s="14"/>
      <c r="C878" s="14"/>
      <c r="D878" s="73"/>
      <c r="E878" s="73"/>
      <c r="F878" s="73"/>
      <c r="G878" s="73"/>
      <c r="H878" s="73"/>
      <c r="I878" s="73"/>
      <c r="J878" s="73"/>
      <c r="K878" s="100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  <c r="AE878" s="73"/>
    </row>
    <row r="879">
      <c r="A879" s="73"/>
      <c r="B879" s="14"/>
      <c r="C879" s="14"/>
      <c r="D879" s="73"/>
      <c r="E879" s="73"/>
      <c r="F879" s="73"/>
      <c r="G879" s="73"/>
      <c r="H879" s="73"/>
      <c r="I879" s="73"/>
      <c r="J879" s="73"/>
      <c r="K879" s="100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  <c r="AE879" s="73"/>
    </row>
    <row r="880">
      <c r="A880" s="73"/>
      <c r="B880" s="14"/>
      <c r="C880" s="14"/>
      <c r="D880" s="73"/>
      <c r="E880" s="73"/>
      <c r="F880" s="73"/>
      <c r="G880" s="73"/>
      <c r="H880" s="73"/>
      <c r="I880" s="73"/>
      <c r="J880" s="73"/>
      <c r="K880" s="100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  <c r="AE880" s="73"/>
    </row>
    <row r="881">
      <c r="A881" s="73"/>
      <c r="B881" s="14"/>
      <c r="C881" s="14"/>
      <c r="D881" s="73"/>
      <c r="E881" s="73"/>
      <c r="F881" s="73"/>
      <c r="G881" s="73"/>
      <c r="H881" s="73"/>
      <c r="I881" s="73"/>
      <c r="J881" s="73"/>
      <c r="K881" s="100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  <c r="AE881" s="73"/>
    </row>
    <row r="882">
      <c r="A882" s="73"/>
      <c r="B882" s="14"/>
      <c r="C882" s="14"/>
      <c r="D882" s="73"/>
      <c r="E882" s="73"/>
      <c r="F882" s="73"/>
      <c r="G882" s="73"/>
      <c r="H882" s="73"/>
      <c r="I882" s="73"/>
      <c r="J882" s="73"/>
      <c r="K882" s="100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  <c r="AE882" s="73"/>
    </row>
    <row r="883">
      <c r="A883" s="73"/>
      <c r="B883" s="14"/>
      <c r="C883" s="14"/>
      <c r="D883" s="73"/>
      <c r="E883" s="73"/>
      <c r="F883" s="73"/>
      <c r="G883" s="73"/>
      <c r="H883" s="73"/>
      <c r="I883" s="73"/>
      <c r="J883" s="73"/>
      <c r="K883" s="100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  <c r="AE883" s="73"/>
    </row>
    <row r="884">
      <c r="A884" s="73"/>
      <c r="B884" s="14"/>
      <c r="C884" s="14"/>
      <c r="D884" s="73"/>
      <c r="E884" s="73"/>
      <c r="F884" s="73"/>
      <c r="G884" s="73"/>
      <c r="H884" s="73"/>
      <c r="I884" s="73"/>
      <c r="J884" s="73"/>
      <c r="K884" s="100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  <c r="AE884" s="73"/>
    </row>
    <row r="885">
      <c r="A885" s="73"/>
      <c r="B885" s="14"/>
      <c r="C885" s="14"/>
      <c r="D885" s="73"/>
      <c r="E885" s="73"/>
      <c r="F885" s="73"/>
      <c r="G885" s="73"/>
      <c r="H885" s="73"/>
      <c r="I885" s="73"/>
      <c r="J885" s="73"/>
      <c r="K885" s="100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  <c r="AE885" s="73"/>
    </row>
    <row r="886">
      <c r="A886" s="73"/>
      <c r="B886" s="14"/>
      <c r="C886" s="14"/>
      <c r="D886" s="73"/>
      <c r="E886" s="73"/>
      <c r="F886" s="73"/>
      <c r="G886" s="73"/>
      <c r="H886" s="73"/>
      <c r="I886" s="73"/>
      <c r="J886" s="73"/>
      <c r="K886" s="100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  <c r="AE886" s="73"/>
    </row>
    <row r="887">
      <c r="A887" s="73"/>
      <c r="B887" s="14"/>
      <c r="C887" s="14"/>
      <c r="D887" s="73"/>
      <c r="E887" s="73"/>
      <c r="F887" s="73"/>
      <c r="G887" s="73"/>
      <c r="H887" s="73"/>
      <c r="I887" s="73"/>
      <c r="J887" s="73"/>
      <c r="K887" s="100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  <c r="AE887" s="73"/>
    </row>
    <row r="888">
      <c r="A888" s="73"/>
      <c r="B888" s="14"/>
      <c r="C888" s="14"/>
      <c r="D888" s="73"/>
      <c r="E888" s="73"/>
      <c r="F888" s="73"/>
      <c r="G888" s="73"/>
      <c r="H888" s="73"/>
      <c r="I888" s="73"/>
      <c r="J888" s="73"/>
      <c r="K888" s="100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  <c r="AE888" s="73"/>
    </row>
    <row r="889">
      <c r="A889" s="73"/>
      <c r="B889" s="14"/>
      <c r="C889" s="14"/>
      <c r="D889" s="73"/>
      <c r="E889" s="73"/>
      <c r="F889" s="73"/>
      <c r="G889" s="73"/>
      <c r="H889" s="73"/>
      <c r="I889" s="73"/>
      <c r="J889" s="73"/>
      <c r="K889" s="100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  <c r="AE889" s="73"/>
    </row>
    <row r="890">
      <c r="A890" s="73"/>
      <c r="B890" s="14"/>
      <c r="C890" s="14"/>
      <c r="D890" s="73"/>
      <c r="E890" s="73"/>
      <c r="F890" s="73"/>
      <c r="G890" s="73"/>
      <c r="H890" s="73"/>
      <c r="I890" s="73"/>
      <c r="J890" s="73"/>
      <c r="K890" s="100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  <c r="AE890" s="73"/>
    </row>
    <row r="891">
      <c r="A891" s="73"/>
      <c r="B891" s="14"/>
      <c r="C891" s="14"/>
      <c r="D891" s="73"/>
      <c r="E891" s="73"/>
      <c r="F891" s="73"/>
      <c r="G891" s="73"/>
      <c r="H891" s="73"/>
      <c r="I891" s="73"/>
      <c r="J891" s="73"/>
      <c r="K891" s="100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  <c r="AE891" s="73"/>
    </row>
    <row r="892">
      <c r="A892" s="73"/>
      <c r="B892" s="14"/>
      <c r="C892" s="14"/>
      <c r="D892" s="73"/>
      <c r="E892" s="73"/>
      <c r="F892" s="73"/>
      <c r="G892" s="73"/>
      <c r="H892" s="73"/>
      <c r="I892" s="73"/>
      <c r="J892" s="73"/>
      <c r="K892" s="100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  <c r="AE892" s="73"/>
    </row>
    <row r="893">
      <c r="A893" s="73"/>
      <c r="B893" s="14"/>
      <c r="C893" s="14"/>
      <c r="D893" s="73"/>
      <c r="E893" s="73"/>
      <c r="F893" s="73"/>
      <c r="G893" s="73"/>
      <c r="H893" s="73"/>
      <c r="I893" s="73"/>
      <c r="J893" s="73"/>
      <c r="K893" s="100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  <c r="AE893" s="73"/>
    </row>
    <row r="894">
      <c r="A894" s="73"/>
      <c r="B894" s="14"/>
      <c r="C894" s="14"/>
      <c r="D894" s="73"/>
      <c r="E894" s="73"/>
      <c r="F894" s="73"/>
      <c r="G894" s="73"/>
      <c r="H894" s="73"/>
      <c r="I894" s="73"/>
      <c r="J894" s="73"/>
      <c r="K894" s="100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  <c r="AE894" s="73"/>
    </row>
    <row r="895">
      <c r="A895" s="73"/>
      <c r="B895" s="14"/>
      <c r="C895" s="14"/>
      <c r="D895" s="73"/>
      <c r="E895" s="73"/>
      <c r="F895" s="73"/>
      <c r="G895" s="73"/>
      <c r="H895" s="73"/>
      <c r="I895" s="73"/>
      <c r="J895" s="73"/>
      <c r="K895" s="100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  <c r="AE895" s="73"/>
    </row>
    <row r="896">
      <c r="A896" s="73"/>
      <c r="B896" s="14"/>
      <c r="C896" s="14"/>
      <c r="D896" s="73"/>
      <c r="E896" s="73"/>
      <c r="F896" s="73"/>
      <c r="G896" s="73"/>
      <c r="H896" s="73"/>
      <c r="I896" s="73"/>
      <c r="J896" s="73"/>
      <c r="K896" s="100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  <c r="AE896" s="73"/>
    </row>
    <row r="897">
      <c r="A897" s="73"/>
      <c r="B897" s="14"/>
      <c r="C897" s="14"/>
      <c r="D897" s="73"/>
      <c r="E897" s="73"/>
      <c r="F897" s="73"/>
      <c r="G897" s="73"/>
      <c r="H897" s="73"/>
      <c r="I897" s="73"/>
      <c r="J897" s="73"/>
      <c r="K897" s="100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  <c r="AE897" s="73"/>
    </row>
    <row r="898">
      <c r="A898" s="73"/>
      <c r="B898" s="14"/>
      <c r="C898" s="14"/>
      <c r="D898" s="73"/>
      <c r="E898" s="73"/>
      <c r="F898" s="73"/>
      <c r="G898" s="73"/>
      <c r="H898" s="73"/>
      <c r="I898" s="73"/>
      <c r="J898" s="73"/>
      <c r="K898" s="100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  <c r="AE898" s="73"/>
    </row>
    <row r="899">
      <c r="A899" s="73"/>
      <c r="B899" s="14"/>
      <c r="C899" s="14"/>
      <c r="D899" s="73"/>
      <c r="E899" s="73"/>
      <c r="F899" s="73"/>
      <c r="G899" s="73"/>
      <c r="H899" s="73"/>
      <c r="I899" s="73"/>
      <c r="J899" s="73"/>
      <c r="K899" s="100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  <c r="AE899" s="73"/>
    </row>
    <row r="900">
      <c r="A900" s="73"/>
      <c r="B900" s="14"/>
      <c r="C900" s="14"/>
      <c r="D900" s="73"/>
      <c r="E900" s="73"/>
      <c r="F900" s="73"/>
      <c r="G900" s="73"/>
      <c r="H900" s="73"/>
      <c r="I900" s="73"/>
      <c r="J900" s="73"/>
      <c r="K900" s="100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  <c r="AE900" s="73"/>
    </row>
    <row r="901">
      <c r="A901" s="73"/>
      <c r="B901" s="14"/>
      <c r="C901" s="14"/>
      <c r="D901" s="73"/>
      <c r="E901" s="73"/>
      <c r="F901" s="73"/>
      <c r="G901" s="73"/>
      <c r="H901" s="73"/>
      <c r="I901" s="73"/>
      <c r="J901" s="73"/>
      <c r="K901" s="100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  <c r="AE901" s="73"/>
    </row>
    <row r="902">
      <c r="A902" s="73"/>
      <c r="B902" s="14"/>
      <c r="C902" s="14"/>
      <c r="D902" s="73"/>
      <c r="E902" s="73"/>
      <c r="F902" s="73"/>
      <c r="G902" s="73"/>
      <c r="H902" s="73"/>
      <c r="I902" s="73"/>
      <c r="J902" s="73"/>
      <c r="K902" s="100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  <c r="AE902" s="73"/>
    </row>
    <row r="903">
      <c r="A903" s="73"/>
      <c r="B903" s="14"/>
      <c r="C903" s="14"/>
      <c r="D903" s="73"/>
      <c r="E903" s="73"/>
      <c r="F903" s="73"/>
      <c r="G903" s="73"/>
      <c r="H903" s="73"/>
      <c r="I903" s="73"/>
      <c r="J903" s="73"/>
      <c r="K903" s="100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  <c r="AE903" s="73"/>
    </row>
    <row r="904">
      <c r="A904" s="73"/>
      <c r="B904" s="14"/>
      <c r="C904" s="14"/>
      <c r="D904" s="73"/>
      <c r="E904" s="73"/>
      <c r="F904" s="73"/>
      <c r="G904" s="73"/>
      <c r="H904" s="73"/>
      <c r="I904" s="73"/>
      <c r="J904" s="73"/>
      <c r="K904" s="100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  <c r="AE904" s="73"/>
    </row>
    <row r="905">
      <c r="A905" s="73"/>
      <c r="B905" s="14"/>
      <c r="C905" s="14"/>
      <c r="D905" s="73"/>
      <c r="E905" s="73"/>
      <c r="F905" s="73"/>
      <c r="G905" s="73"/>
      <c r="H905" s="73"/>
      <c r="I905" s="73"/>
      <c r="J905" s="73"/>
      <c r="K905" s="100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  <c r="AE905" s="73"/>
    </row>
    <row r="906">
      <c r="A906" s="73"/>
      <c r="B906" s="14"/>
      <c r="C906" s="14"/>
      <c r="D906" s="73"/>
      <c r="E906" s="73"/>
      <c r="F906" s="73"/>
      <c r="G906" s="73"/>
      <c r="H906" s="73"/>
      <c r="I906" s="73"/>
      <c r="J906" s="73"/>
      <c r="K906" s="100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  <c r="AE906" s="73"/>
    </row>
    <row r="907">
      <c r="A907" s="73"/>
      <c r="B907" s="14"/>
      <c r="C907" s="14"/>
      <c r="D907" s="73"/>
      <c r="E907" s="73"/>
      <c r="F907" s="73"/>
      <c r="G907" s="73"/>
      <c r="H907" s="73"/>
      <c r="I907" s="73"/>
      <c r="J907" s="73"/>
      <c r="K907" s="100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  <c r="AE907" s="73"/>
    </row>
    <row r="908">
      <c r="A908" s="73"/>
      <c r="B908" s="14"/>
      <c r="C908" s="14"/>
      <c r="D908" s="73"/>
      <c r="E908" s="73"/>
      <c r="F908" s="73"/>
      <c r="G908" s="73"/>
      <c r="H908" s="73"/>
      <c r="I908" s="73"/>
      <c r="J908" s="73"/>
      <c r="K908" s="100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  <c r="AE908" s="73"/>
    </row>
    <row r="909">
      <c r="A909" s="73"/>
      <c r="B909" s="14"/>
      <c r="C909" s="14"/>
      <c r="D909" s="73"/>
      <c r="E909" s="73"/>
      <c r="F909" s="73"/>
      <c r="G909" s="73"/>
      <c r="H909" s="73"/>
      <c r="I909" s="73"/>
      <c r="J909" s="73"/>
      <c r="K909" s="100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  <c r="AE909" s="73"/>
    </row>
    <row r="910">
      <c r="A910" s="73"/>
      <c r="B910" s="14"/>
      <c r="C910" s="14"/>
      <c r="D910" s="73"/>
      <c r="E910" s="73"/>
      <c r="F910" s="73"/>
      <c r="G910" s="73"/>
      <c r="H910" s="73"/>
      <c r="I910" s="73"/>
      <c r="J910" s="73"/>
      <c r="K910" s="100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  <c r="AE910" s="73"/>
    </row>
    <row r="911">
      <c r="A911" s="73"/>
      <c r="B911" s="14"/>
      <c r="C911" s="14"/>
      <c r="D911" s="73"/>
      <c r="E911" s="73"/>
      <c r="F911" s="73"/>
      <c r="G911" s="73"/>
      <c r="H911" s="73"/>
      <c r="I911" s="73"/>
      <c r="J911" s="73"/>
      <c r="K911" s="100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  <c r="AE911" s="73"/>
    </row>
    <row r="912">
      <c r="A912" s="73"/>
      <c r="B912" s="14"/>
      <c r="C912" s="14"/>
      <c r="D912" s="73"/>
      <c r="E912" s="73"/>
      <c r="F912" s="73"/>
      <c r="G912" s="73"/>
      <c r="H912" s="73"/>
      <c r="I912" s="73"/>
      <c r="J912" s="73"/>
      <c r="K912" s="100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  <c r="AE912" s="73"/>
    </row>
    <row r="913">
      <c r="A913" s="73"/>
      <c r="B913" s="14"/>
      <c r="C913" s="14"/>
      <c r="D913" s="73"/>
      <c r="E913" s="73"/>
      <c r="F913" s="73"/>
      <c r="G913" s="73"/>
      <c r="H913" s="73"/>
      <c r="I913" s="73"/>
      <c r="J913" s="73"/>
      <c r="K913" s="100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  <c r="AE913" s="73"/>
    </row>
    <row r="914">
      <c r="A914" s="73"/>
      <c r="B914" s="14"/>
      <c r="C914" s="14"/>
      <c r="D914" s="73"/>
      <c r="E914" s="73"/>
      <c r="F914" s="73"/>
      <c r="G914" s="73"/>
      <c r="H914" s="73"/>
      <c r="I914" s="73"/>
      <c r="J914" s="73"/>
      <c r="K914" s="100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  <c r="AE914" s="73"/>
    </row>
    <row r="915">
      <c r="A915" s="73"/>
      <c r="B915" s="14"/>
      <c r="C915" s="14"/>
      <c r="D915" s="73"/>
      <c r="E915" s="73"/>
      <c r="F915" s="73"/>
      <c r="G915" s="73"/>
      <c r="H915" s="73"/>
      <c r="I915" s="73"/>
      <c r="J915" s="73"/>
      <c r="K915" s="100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  <c r="AE915" s="73"/>
    </row>
    <row r="916">
      <c r="A916" s="73"/>
      <c r="B916" s="14"/>
      <c r="C916" s="14"/>
      <c r="D916" s="73"/>
      <c r="E916" s="73"/>
      <c r="F916" s="73"/>
      <c r="G916" s="73"/>
      <c r="H916" s="73"/>
      <c r="I916" s="73"/>
      <c r="J916" s="73"/>
      <c r="K916" s="100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  <c r="AE916" s="73"/>
    </row>
    <row r="917">
      <c r="A917" s="73"/>
      <c r="B917" s="14"/>
      <c r="C917" s="14"/>
      <c r="D917" s="73"/>
      <c r="E917" s="73"/>
      <c r="F917" s="73"/>
      <c r="G917" s="73"/>
      <c r="H917" s="73"/>
      <c r="I917" s="73"/>
      <c r="J917" s="73"/>
      <c r="K917" s="100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  <c r="AE917" s="73"/>
    </row>
    <row r="918">
      <c r="A918" s="73"/>
      <c r="B918" s="14"/>
      <c r="C918" s="14"/>
      <c r="D918" s="73"/>
      <c r="E918" s="73"/>
      <c r="F918" s="73"/>
      <c r="G918" s="73"/>
      <c r="H918" s="73"/>
      <c r="I918" s="73"/>
      <c r="J918" s="73"/>
      <c r="K918" s="100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  <c r="AE918" s="73"/>
    </row>
    <row r="919">
      <c r="A919" s="73"/>
      <c r="B919" s="14"/>
      <c r="C919" s="14"/>
      <c r="D919" s="73"/>
      <c r="E919" s="73"/>
      <c r="F919" s="73"/>
      <c r="G919" s="73"/>
      <c r="H919" s="73"/>
      <c r="I919" s="73"/>
      <c r="J919" s="73"/>
      <c r="K919" s="100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  <c r="AE919" s="73"/>
    </row>
    <row r="920">
      <c r="A920" s="73"/>
      <c r="B920" s="14"/>
      <c r="C920" s="14"/>
      <c r="D920" s="73"/>
      <c r="E920" s="73"/>
      <c r="F920" s="73"/>
      <c r="G920" s="73"/>
      <c r="H920" s="73"/>
      <c r="I920" s="73"/>
      <c r="J920" s="73"/>
      <c r="K920" s="100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  <c r="AE920" s="73"/>
    </row>
    <row r="921">
      <c r="A921" s="73"/>
      <c r="B921" s="14"/>
      <c r="C921" s="14"/>
      <c r="D921" s="73"/>
      <c r="E921" s="73"/>
      <c r="F921" s="73"/>
      <c r="G921" s="73"/>
      <c r="H921" s="73"/>
      <c r="I921" s="73"/>
      <c r="J921" s="73"/>
      <c r="K921" s="100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  <c r="AE921" s="73"/>
    </row>
    <row r="922">
      <c r="A922" s="73"/>
      <c r="B922" s="14"/>
      <c r="C922" s="14"/>
      <c r="D922" s="73"/>
      <c r="E922" s="73"/>
      <c r="F922" s="73"/>
      <c r="G922" s="73"/>
      <c r="H922" s="73"/>
      <c r="I922" s="73"/>
      <c r="J922" s="73"/>
      <c r="K922" s="100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  <c r="AE922" s="73"/>
    </row>
    <row r="923">
      <c r="A923" s="73"/>
      <c r="B923" s="14"/>
      <c r="C923" s="14"/>
      <c r="D923" s="73"/>
      <c r="E923" s="73"/>
      <c r="F923" s="73"/>
      <c r="G923" s="73"/>
      <c r="H923" s="73"/>
      <c r="I923" s="73"/>
      <c r="J923" s="73"/>
      <c r="K923" s="100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  <c r="AE923" s="73"/>
    </row>
    <row r="924">
      <c r="A924" s="73"/>
      <c r="B924" s="14"/>
      <c r="C924" s="14"/>
      <c r="D924" s="73"/>
      <c r="E924" s="73"/>
      <c r="F924" s="73"/>
      <c r="G924" s="73"/>
      <c r="H924" s="73"/>
      <c r="I924" s="73"/>
      <c r="J924" s="73"/>
      <c r="K924" s="100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  <c r="AE924" s="73"/>
    </row>
    <row r="925">
      <c r="A925" s="73"/>
      <c r="B925" s="14"/>
      <c r="C925" s="14"/>
      <c r="D925" s="73"/>
      <c r="E925" s="73"/>
      <c r="F925" s="73"/>
      <c r="G925" s="73"/>
      <c r="H925" s="73"/>
      <c r="I925" s="73"/>
      <c r="J925" s="73"/>
      <c r="K925" s="100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  <c r="AE925" s="73"/>
    </row>
    <row r="926">
      <c r="A926" s="73"/>
      <c r="B926" s="14"/>
      <c r="C926" s="14"/>
      <c r="D926" s="73"/>
      <c r="E926" s="73"/>
      <c r="F926" s="73"/>
      <c r="G926" s="73"/>
      <c r="H926" s="73"/>
      <c r="I926" s="73"/>
      <c r="J926" s="73"/>
      <c r="K926" s="100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  <c r="AE926" s="73"/>
    </row>
    <row r="927">
      <c r="A927" s="73"/>
      <c r="B927" s="14"/>
      <c r="C927" s="14"/>
      <c r="D927" s="73"/>
      <c r="E927" s="73"/>
      <c r="F927" s="73"/>
      <c r="G927" s="73"/>
      <c r="H927" s="73"/>
      <c r="I927" s="73"/>
      <c r="J927" s="73"/>
      <c r="K927" s="100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  <c r="AE927" s="73"/>
    </row>
    <row r="928">
      <c r="A928" s="73"/>
      <c r="B928" s="14"/>
      <c r="C928" s="14"/>
      <c r="D928" s="73"/>
      <c r="E928" s="73"/>
      <c r="F928" s="73"/>
      <c r="G928" s="73"/>
      <c r="H928" s="73"/>
      <c r="I928" s="73"/>
      <c r="J928" s="73"/>
      <c r="K928" s="100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  <c r="AE928" s="73"/>
    </row>
    <row r="929">
      <c r="A929" s="73"/>
      <c r="B929" s="14"/>
      <c r="C929" s="14"/>
      <c r="D929" s="73"/>
      <c r="E929" s="73"/>
      <c r="F929" s="73"/>
      <c r="G929" s="73"/>
      <c r="H929" s="73"/>
      <c r="I929" s="73"/>
      <c r="J929" s="73"/>
      <c r="K929" s="100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  <c r="AE929" s="73"/>
    </row>
    <row r="930">
      <c r="A930" s="73"/>
      <c r="B930" s="14"/>
      <c r="C930" s="14"/>
      <c r="D930" s="73"/>
      <c r="E930" s="73"/>
      <c r="F930" s="73"/>
      <c r="G930" s="73"/>
      <c r="H930" s="73"/>
      <c r="I930" s="73"/>
      <c r="J930" s="73"/>
      <c r="K930" s="100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  <c r="AE930" s="73"/>
    </row>
    <row r="931">
      <c r="A931" s="73"/>
      <c r="B931" s="14"/>
      <c r="C931" s="14"/>
      <c r="D931" s="73"/>
      <c r="E931" s="73"/>
      <c r="F931" s="73"/>
      <c r="G931" s="73"/>
      <c r="H931" s="73"/>
      <c r="I931" s="73"/>
      <c r="J931" s="73"/>
      <c r="K931" s="100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  <c r="AE931" s="73"/>
    </row>
    <row r="932">
      <c r="A932" s="73"/>
      <c r="B932" s="14"/>
      <c r="C932" s="14"/>
      <c r="D932" s="73"/>
      <c r="E932" s="73"/>
      <c r="F932" s="73"/>
      <c r="G932" s="73"/>
      <c r="H932" s="73"/>
      <c r="I932" s="73"/>
      <c r="J932" s="73"/>
      <c r="K932" s="100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  <c r="AE932" s="73"/>
    </row>
    <row r="933">
      <c r="A933" s="73"/>
      <c r="B933" s="14"/>
      <c r="C933" s="14"/>
      <c r="D933" s="73"/>
      <c r="E933" s="73"/>
      <c r="F933" s="73"/>
      <c r="G933" s="73"/>
      <c r="H933" s="73"/>
      <c r="I933" s="73"/>
      <c r="J933" s="73"/>
      <c r="K933" s="100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  <c r="AE933" s="73"/>
    </row>
    <row r="934">
      <c r="A934" s="73"/>
      <c r="B934" s="14"/>
      <c r="C934" s="14"/>
      <c r="D934" s="73"/>
      <c r="E934" s="73"/>
      <c r="F934" s="73"/>
      <c r="G934" s="73"/>
      <c r="H934" s="73"/>
      <c r="I934" s="73"/>
      <c r="J934" s="73"/>
      <c r="K934" s="100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  <c r="AE934" s="73"/>
    </row>
    <row r="935">
      <c r="A935" s="73"/>
      <c r="B935" s="14"/>
      <c r="C935" s="14"/>
      <c r="D935" s="73"/>
      <c r="E935" s="73"/>
      <c r="F935" s="73"/>
      <c r="G935" s="73"/>
      <c r="H935" s="73"/>
      <c r="I935" s="73"/>
      <c r="J935" s="73"/>
      <c r="K935" s="100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  <c r="AE935" s="73"/>
    </row>
    <row r="936">
      <c r="A936" s="73"/>
      <c r="B936" s="14"/>
      <c r="C936" s="14"/>
      <c r="D936" s="73"/>
      <c r="E936" s="73"/>
      <c r="F936" s="73"/>
      <c r="G936" s="73"/>
      <c r="H936" s="73"/>
      <c r="I936" s="73"/>
      <c r="J936" s="73"/>
      <c r="K936" s="100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  <c r="AE936" s="73"/>
    </row>
    <row r="937">
      <c r="A937" s="73"/>
      <c r="B937" s="14"/>
      <c r="C937" s="14"/>
      <c r="D937" s="73"/>
      <c r="E937" s="73"/>
      <c r="F937" s="73"/>
      <c r="G937" s="73"/>
      <c r="H937" s="73"/>
      <c r="I937" s="73"/>
      <c r="J937" s="73"/>
      <c r="K937" s="100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  <c r="AE937" s="73"/>
    </row>
    <row r="938">
      <c r="A938" s="73"/>
      <c r="B938" s="14"/>
      <c r="C938" s="14"/>
      <c r="D938" s="73"/>
      <c r="E938" s="73"/>
      <c r="F938" s="73"/>
      <c r="G938" s="73"/>
      <c r="H938" s="73"/>
      <c r="I938" s="73"/>
      <c r="J938" s="73"/>
      <c r="K938" s="100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  <c r="AE938" s="73"/>
    </row>
    <row r="939">
      <c r="A939" s="73"/>
      <c r="B939" s="14"/>
      <c r="C939" s="14"/>
      <c r="D939" s="73"/>
      <c r="E939" s="73"/>
      <c r="F939" s="73"/>
      <c r="G939" s="73"/>
      <c r="H939" s="73"/>
      <c r="I939" s="73"/>
      <c r="J939" s="73"/>
      <c r="K939" s="100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  <c r="AE939" s="73"/>
    </row>
    <row r="940">
      <c r="A940" s="73"/>
      <c r="B940" s="14"/>
      <c r="C940" s="14"/>
      <c r="D940" s="73"/>
      <c r="E940" s="73"/>
      <c r="F940" s="73"/>
      <c r="G940" s="73"/>
      <c r="H940" s="73"/>
      <c r="I940" s="73"/>
      <c r="J940" s="73"/>
      <c r="K940" s="100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  <c r="AE940" s="73"/>
    </row>
    <row r="941">
      <c r="A941" s="73"/>
      <c r="B941" s="14"/>
      <c r="C941" s="14"/>
      <c r="D941" s="73"/>
      <c r="E941" s="73"/>
      <c r="F941" s="73"/>
      <c r="G941" s="73"/>
      <c r="H941" s="73"/>
      <c r="I941" s="73"/>
      <c r="J941" s="73"/>
      <c r="K941" s="100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  <c r="AE941" s="73"/>
    </row>
    <row r="942">
      <c r="A942" s="73"/>
      <c r="B942" s="14"/>
      <c r="C942" s="14"/>
      <c r="D942" s="73"/>
      <c r="E942" s="73"/>
      <c r="F942" s="73"/>
      <c r="G942" s="73"/>
      <c r="H942" s="73"/>
      <c r="I942" s="73"/>
      <c r="J942" s="73"/>
      <c r="K942" s="100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  <c r="AE942" s="73"/>
    </row>
    <row r="943">
      <c r="A943" s="73"/>
      <c r="B943" s="14"/>
      <c r="C943" s="14"/>
      <c r="D943" s="73"/>
      <c r="E943" s="73"/>
      <c r="F943" s="73"/>
      <c r="G943" s="73"/>
      <c r="H943" s="73"/>
      <c r="I943" s="73"/>
      <c r="J943" s="73"/>
      <c r="K943" s="100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  <c r="AE943" s="73"/>
    </row>
    <row r="944">
      <c r="A944" s="73"/>
      <c r="B944" s="14"/>
      <c r="C944" s="14"/>
      <c r="D944" s="73"/>
      <c r="E944" s="73"/>
      <c r="F944" s="73"/>
      <c r="G944" s="73"/>
      <c r="H944" s="73"/>
      <c r="I944" s="73"/>
      <c r="J944" s="73"/>
      <c r="K944" s="100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  <c r="AE944" s="73"/>
    </row>
    <row r="945">
      <c r="A945" s="73"/>
      <c r="B945" s="14"/>
      <c r="C945" s="14"/>
      <c r="D945" s="73"/>
      <c r="E945" s="73"/>
      <c r="F945" s="73"/>
      <c r="G945" s="73"/>
      <c r="H945" s="73"/>
      <c r="I945" s="73"/>
      <c r="J945" s="73"/>
      <c r="K945" s="100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  <c r="AE945" s="73"/>
    </row>
    <row r="946">
      <c r="A946" s="73"/>
      <c r="B946" s="14"/>
      <c r="C946" s="14"/>
      <c r="D946" s="73"/>
      <c r="E946" s="73"/>
      <c r="F946" s="73"/>
      <c r="G946" s="73"/>
      <c r="H946" s="73"/>
      <c r="I946" s="73"/>
      <c r="J946" s="73"/>
      <c r="K946" s="100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  <c r="AE946" s="73"/>
    </row>
    <row r="947">
      <c r="A947" s="73"/>
      <c r="B947" s="14"/>
      <c r="C947" s="14"/>
      <c r="D947" s="73"/>
      <c r="E947" s="73"/>
      <c r="F947" s="73"/>
      <c r="G947" s="73"/>
      <c r="H947" s="73"/>
      <c r="I947" s="73"/>
      <c r="J947" s="73"/>
      <c r="K947" s="100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  <c r="AE947" s="73"/>
    </row>
    <row r="948">
      <c r="A948" s="73"/>
      <c r="B948" s="14"/>
      <c r="C948" s="14"/>
      <c r="D948" s="73"/>
      <c r="E948" s="73"/>
      <c r="F948" s="73"/>
      <c r="G948" s="73"/>
      <c r="H948" s="73"/>
      <c r="I948" s="73"/>
      <c r="J948" s="73"/>
      <c r="K948" s="100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  <c r="AE948" s="73"/>
    </row>
    <row r="949">
      <c r="A949" s="73"/>
      <c r="B949" s="14"/>
      <c r="C949" s="14"/>
      <c r="D949" s="73"/>
      <c r="E949" s="73"/>
      <c r="F949" s="73"/>
      <c r="G949" s="73"/>
      <c r="H949" s="73"/>
      <c r="I949" s="73"/>
      <c r="J949" s="73"/>
      <c r="K949" s="100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  <c r="AE949" s="73"/>
    </row>
    <row r="950">
      <c r="A950" s="73"/>
      <c r="B950" s="14"/>
      <c r="C950" s="14"/>
      <c r="D950" s="73"/>
      <c r="E950" s="73"/>
      <c r="F950" s="73"/>
      <c r="G950" s="73"/>
      <c r="H950" s="73"/>
      <c r="I950" s="73"/>
      <c r="J950" s="73"/>
      <c r="K950" s="100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  <c r="AE950" s="73"/>
    </row>
    <row r="951">
      <c r="A951" s="73"/>
      <c r="B951" s="14"/>
      <c r="C951" s="14"/>
      <c r="D951" s="73"/>
      <c r="E951" s="73"/>
      <c r="F951" s="73"/>
      <c r="G951" s="73"/>
      <c r="H951" s="73"/>
      <c r="I951" s="73"/>
      <c r="J951" s="73"/>
      <c r="K951" s="100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  <c r="AE951" s="73"/>
    </row>
    <row r="952">
      <c r="A952" s="73"/>
      <c r="B952" s="14"/>
      <c r="C952" s="14"/>
      <c r="D952" s="73"/>
      <c r="E952" s="73"/>
      <c r="F952" s="73"/>
      <c r="G952" s="73"/>
      <c r="H952" s="73"/>
      <c r="I952" s="73"/>
      <c r="J952" s="73"/>
      <c r="K952" s="100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  <c r="AE952" s="73"/>
    </row>
    <row r="953">
      <c r="A953" s="73"/>
      <c r="B953" s="14"/>
      <c r="C953" s="14"/>
      <c r="D953" s="73"/>
      <c r="E953" s="73"/>
      <c r="F953" s="73"/>
      <c r="G953" s="73"/>
      <c r="H953" s="73"/>
      <c r="I953" s="73"/>
      <c r="J953" s="73"/>
      <c r="K953" s="100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  <c r="AE953" s="73"/>
    </row>
    <row r="954">
      <c r="A954" s="73"/>
      <c r="B954" s="14"/>
      <c r="C954" s="14"/>
      <c r="D954" s="73"/>
      <c r="E954" s="73"/>
      <c r="F954" s="73"/>
      <c r="G954" s="73"/>
      <c r="H954" s="73"/>
      <c r="I954" s="73"/>
      <c r="J954" s="73"/>
      <c r="K954" s="100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  <c r="AE954" s="73"/>
    </row>
    <row r="955">
      <c r="A955" s="73"/>
      <c r="B955" s="14"/>
      <c r="C955" s="14"/>
      <c r="D955" s="73"/>
      <c r="E955" s="73"/>
      <c r="F955" s="73"/>
      <c r="G955" s="73"/>
      <c r="H955" s="73"/>
      <c r="I955" s="73"/>
      <c r="J955" s="73"/>
      <c r="K955" s="100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  <c r="AD955" s="73"/>
      <c r="AE955" s="73"/>
    </row>
    <row r="956">
      <c r="A956" s="73"/>
      <c r="B956" s="14"/>
      <c r="C956" s="14"/>
      <c r="D956" s="73"/>
      <c r="E956" s="73"/>
      <c r="F956" s="73"/>
      <c r="G956" s="73"/>
      <c r="H956" s="73"/>
      <c r="I956" s="73"/>
      <c r="J956" s="73"/>
      <c r="K956" s="100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  <c r="AD956" s="73"/>
      <c r="AE956" s="73"/>
    </row>
    <row r="957">
      <c r="A957" s="73"/>
      <c r="B957" s="14"/>
      <c r="C957" s="14"/>
      <c r="D957" s="73"/>
      <c r="E957" s="73"/>
      <c r="F957" s="73"/>
      <c r="G957" s="73"/>
      <c r="H957" s="73"/>
      <c r="I957" s="73"/>
      <c r="J957" s="73"/>
      <c r="K957" s="100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  <c r="AD957" s="73"/>
      <c r="AE957" s="73"/>
    </row>
    <row r="958">
      <c r="A958" s="73"/>
      <c r="B958" s="14"/>
      <c r="C958" s="14"/>
      <c r="D958" s="73"/>
      <c r="E958" s="73"/>
      <c r="F958" s="73"/>
      <c r="G958" s="73"/>
      <c r="H958" s="73"/>
      <c r="I958" s="73"/>
      <c r="J958" s="73"/>
      <c r="K958" s="100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  <c r="AD958" s="73"/>
      <c r="AE958" s="73"/>
    </row>
    <row r="959">
      <c r="A959" s="73"/>
      <c r="B959" s="14"/>
      <c r="C959" s="14"/>
      <c r="D959" s="73"/>
      <c r="E959" s="73"/>
      <c r="F959" s="73"/>
      <c r="G959" s="73"/>
      <c r="H959" s="73"/>
      <c r="I959" s="73"/>
      <c r="J959" s="73"/>
      <c r="K959" s="100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  <c r="AD959" s="73"/>
      <c r="AE959" s="73"/>
    </row>
    <row r="960">
      <c r="A960" s="73"/>
      <c r="B960" s="14"/>
      <c r="C960" s="14"/>
      <c r="D960" s="73"/>
      <c r="E960" s="73"/>
      <c r="F960" s="73"/>
      <c r="G960" s="73"/>
      <c r="H960" s="73"/>
      <c r="I960" s="73"/>
      <c r="J960" s="73"/>
      <c r="K960" s="100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  <c r="AD960" s="73"/>
      <c r="AE960" s="73"/>
    </row>
    <row r="961">
      <c r="A961" s="73"/>
      <c r="B961" s="14"/>
      <c r="C961" s="14"/>
      <c r="D961" s="73"/>
      <c r="E961" s="73"/>
      <c r="F961" s="73"/>
      <c r="G961" s="73"/>
      <c r="H961" s="73"/>
      <c r="I961" s="73"/>
      <c r="J961" s="73"/>
      <c r="K961" s="100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  <c r="AD961" s="73"/>
      <c r="AE961" s="73"/>
    </row>
    <row r="962">
      <c r="A962" s="73"/>
      <c r="B962" s="14"/>
      <c r="C962" s="14"/>
      <c r="D962" s="73"/>
      <c r="E962" s="73"/>
      <c r="F962" s="73"/>
      <c r="G962" s="73"/>
      <c r="H962" s="73"/>
      <c r="I962" s="73"/>
      <c r="J962" s="73"/>
      <c r="K962" s="100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  <c r="AD962" s="73"/>
      <c r="AE962" s="73"/>
    </row>
    <row r="963">
      <c r="A963" s="73"/>
      <c r="B963" s="14"/>
      <c r="C963" s="14"/>
      <c r="D963" s="73"/>
      <c r="E963" s="73"/>
      <c r="F963" s="73"/>
      <c r="G963" s="73"/>
      <c r="H963" s="73"/>
      <c r="I963" s="73"/>
      <c r="J963" s="73"/>
      <c r="K963" s="100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  <c r="AD963" s="73"/>
      <c r="AE963" s="73"/>
    </row>
    <row r="964">
      <c r="A964" s="73"/>
      <c r="B964" s="14"/>
      <c r="C964" s="14"/>
      <c r="D964" s="73"/>
      <c r="E964" s="73"/>
      <c r="F964" s="73"/>
      <c r="G964" s="73"/>
      <c r="H964" s="73"/>
      <c r="I964" s="73"/>
      <c r="J964" s="73"/>
      <c r="K964" s="100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  <c r="AD964" s="73"/>
      <c r="AE964" s="73"/>
    </row>
    <row r="965">
      <c r="A965" s="73"/>
      <c r="B965" s="14"/>
      <c r="C965" s="14"/>
      <c r="D965" s="73"/>
      <c r="E965" s="73"/>
      <c r="F965" s="73"/>
      <c r="G965" s="73"/>
      <c r="H965" s="73"/>
      <c r="I965" s="73"/>
      <c r="J965" s="73"/>
      <c r="K965" s="100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  <c r="AD965" s="73"/>
      <c r="AE965" s="73"/>
    </row>
    <row r="966">
      <c r="A966" s="73"/>
      <c r="B966" s="14"/>
      <c r="C966" s="14"/>
      <c r="D966" s="73"/>
      <c r="E966" s="73"/>
      <c r="F966" s="73"/>
      <c r="G966" s="73"/>
      <c r="H966" s="73"/>
      <c r="I966" s="73"/>
      <c r="J966" s="73"/>
      <c r="K966" s="100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  <c r="AD966" s="73"/>
      <c r="AE966" s="73"/>
    </row>
    <row r="967">
      <c r="A967" s="73"/>
      <c r="B967" s="14"/>
      <c r="C967" s="14"/>
      <c r="D967" s="73"/>
      <c r="E967" s="73"/>
      <c r="F967" s="73"/>
      <c r="G967" s="73"/>
      <c r="H967" s="73"/>
      <c r="I967" s="73"/>
      <c r="J967" s="73"/>
      <c r="K967" s="100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  <c r="AD967" s="73"/>
      <c r="AE967" s="73"/>
    </row>
    <row r="968">
      <c r="A968" s="73"/>
      <c r="B968" s="14"/>
      <c r="C968" s="14"/>
      <c r="D968" s="73"/>
      <c r="E968" s="73"/>
      <c r="F968" s="73"/>
      <c r="G968" s="73"/>
      <c r="H968" s="73"/>
      <c r="I968" s="73"/>
      <c r="J968" s="73"/>
      <c r="K968" s="100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  <c r="AD968" s="73"/>
      <c r="AE968" s="73"/>
    </row>
    <row r="969">
      <c r="A969" s="73"/>
      <c r="B969" s="14"/>
      <c r="C969" s="14"/>
      <c r="D969" s="73"/>
      <c r="E969" s="73"/>
      <c r="F969" s="73"/>
      <c r="G969" s="73"/>
      <c r="H969" s="73"/>
      <c r="I969" s="73"/>
      <c r="J969" s="73"/>
      <c r="K969" s="100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  <c r="AE969" s="73"/>
    </row>
    <row r="970">
      <c r="A970" s="73"/>
      <c r="B970" s="14"/>
      <c r="C970" s="14"/>
      <c r="D970" s="73"/>
      <c r="E970" s="73"/>
      <c r="F970" s="73"/>
      <c r="G970" s="73"/>
      <c r="H970" s="73"/>
      <c r="I970" s="73"/>
      <c r="J970" s="73"/>
      <c r="K970" s="100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  <c r="AD970" s="73"/>
      <c r="AE970" s="73"/>
    </row>
    <row r="971">
      <c r="A971" s="73"/>
      <c r="B971" s="14"/>
      <c r="C971" s="14"/>
      <c r="D971" s="73"/>
      <c r="E971" s="73"/>
      <c r="F971" s="73"/>
      <c r="G971" s="73"/>
      <c r="H971" s="73"/>
      <c r="I971" s="73"/>
      <c r="J971" s="73"/>
      <c r="K971" s="100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  <c r="AE971" s="73"/>
    </row>
    <row r="972">
      <c r="A972" s="73"/>
      <c r="C972" s="14"/>
      <c r="F972" s="73"/>
      <c r="J972" s="74"/>
      <c r="K972" s="101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  <c r="AE972" s="73"/>
    </row>
  </sheetData>
  <conditionalFormatting sqref="L1:L972">
    <cfRule type="cellIs" dxfId="5" priority="1" operator="lessThan">
      <formula>10</formula>
    </cfRule>
  </conditionalFormatting>
  <dataValidations>
    <dataValidation type="list" allowBlank="1" showErrorMessage="1" sqref="I2:I100 E2:E101">
      <formula1>"BAGS,BOTTEL,BOX,KG,LTR,NOS,PACK,PCS,QTY,RFT,SET,UOM,GRAM 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25"/>
    <col customWidth="1" min="2" max="2" width="9.75"/>
    <col customWidth="1" min="3" max="3" width="13.0"/>
    <col customWidth="1" min="4" max="4" width="5.5"/>
    <col customWidth="1" min="5" max="5" width="20.38"/>
    <col customWidth="1" min="6" max="6" width="18.25"/>
  </cols>
  <sheetData>
    <row r="1">
      <c r="A1" s="102" t="s">
        <v>234</v>
      </c>
      <c r="B1" s="103" t="s">
        <v>470</v>
      </c>
      <c r="C1" s="104" t="s">
        <v>235</v>
      </c>
      <c r="D1" s="105" t="s">
        <v>268</v>
      </c>
      <c r="E1" s="102" t="s">
        <v>471</v>
      </c>
      <c r="F1" s="102"/>
    </row>
    <row r="2">
      <c r="A2" s="75" t="s">
        <v>201</v>
      </c>
      <c r="B2" s="106">
        <v>46145.0</v>
      </c>
      <c r="C2" s="77" t="s">
        <v>70</v>
      </c>
      <c r="D2" s="74">
        <v>1.0</v>
      </c>
      <c r="E2" s="107" t="s">
        <v>43</v>
      </c>
      <c r="F2" s="38" t="s">
        <v>20</v>
      </c>
    </row>
    <row r="3">
      <c r="A3" s="75" t="s">
        <v>154</v>
      </c>
      <c r="B3" s="106">
        <v>46145.0</v>
      </c>
      <c r="C3" s="77" t="s">
        <v>70</v>
      </c>
      <c r="D3" s="74">
        <v>6.0</v>
      </c>
      <c r="E3" s="107"/>
      <c r="F3" s="38" t="s">
        <v>155</v>
      </c>
    </row>
    <row r="4">
      <c r="A4" s="75" t="s">
        <v>161</v>
      </c>
      <c r="B4" s="106">
        <v>46145.0</v>
      </c>
      <c r="C4" s="77" t="s">
        <v>70</v>
      </c>
      <c r="D4" s="74">
        <v>2.0</v>
      </c>
      <c r="E4" s="107"/>
      <c r="F4" s="38" t="s">
        <v>157</v>
      </c>
    </row>
    <row r="5">
      <c r="A5" s="75" t="s">
        <v>132</v>
      </c>
      <c r="B5" s="106">
        <v>46145.0</v>
      </c>
      <c r="C5" s="77" t="s">
        <v>70</v>
      </c>
      <c r="D5" s="74">
        <v>1.0</v>
      </c>
      <c r="E5" s="107"/>
      <c r="F5" s="38" t="s">
        <v>151</v>
      </c>
    </row>
    <row r="6">
      <c r="A6" s="75" t="s">
        <v>110</v>
      </c>
      <c r="B6" s="106">
        <v>46145.0</v>
      </c>
      <c r="C6" s="77" t="s">
        <v>70</v>
      </c>
      <c r="D6" s="74">
        <v>1.0</v>
      </c>
      <c r="E6" s="107"/>
      <c r="F6" s="38" t="s">
        <v>126</v>
      </c>
    </row>
    <row r="7">
      <c r="A7" s="75" t="s">
        <v>163</v>
      </c>
      <c r="B7" s="106">
        <v>46145.0</v>
      </c>
      <c r="C7" s="77" t="s">
        <v>70</v>
      </c>
      <c r="D7" s="74">
        <v>2.0</v>
      </c>
      <c r="E7" s="107"/>
      <c r="F7" s="38" t="s">
        <v>472</v>
      </c>
    </row>
    <row r="8">
      <c r="A8" s="75" t="s">
        <v>191</v>
      </c>
      <c r="B8" s="106">
        <v>46145.0</v>
      </c>
      <c r="C8" s="77" t="s">
        <v>239</v>
      </c>
      <c r="D8" s="74">
        <v>1.0</v>
      </c>
      <c r="E8" s="107"/>
      <c r="F8" s="38" t="s">
        <v>473</v>
      </c>
    </row>
    <row r="9">
      <c r="A9" s="75" t="s">
        <v>118</v>
      </c>
      <c r="B9" s="106">
        <v>46145.0</v>
      </c>
      <c r="C9" s="77" t="s">
        <v>70</v>
      </c>
      <c r="D9" s="74">
        <v>1.0</v>
      </c>
      <c r="E9" s="107"/>
      <c r="F9" s="38"/>
    </row>
    <row r="10">
      <c r="A10" s="75" t="s">
        <v>130</v>
      </c>
      <c r="B10" s="106">
        <v>46145.0</v>
      </c>
      <c r="C10" s="77" t="s">
        <v>70</v>
      </c>
      <c r="D10" s="74">
        <v>1.0</v>
      </c>
      <c r="E10" s="107"/>
      <c r="F10" s="38"/>
    </row>
    <row r="11">
      <c r="A11" s="75" t="s">
        <v>154</v>
      </c>
      <c r="B11" s="106">
        <v>46146.0</v>
      </c>
      <c r="C11" s="77" t="s">
        <v>70</v>
      </c>
      <c r="D11" s="74">
        <v>3.0</v>
      </c>
      <c r="E11" s="107" t="s">
        <v>93</v>
      </c>
      <c r="F11" s="38"/>
    </row>
    <row r="12">
      <c r="A12" s="75" t="s">
        <v>161</v>
      </c>
      <c r="B12" s="106">
        <v>46146.0</v>
      </c>
      <c r="C12" s="77" t="s">
        <v>70</v>
      </c>
      <c r="D12" s="74">
        <v>1.0</v>
      </c>
      <c r="E12" s="107" t="s">
        <v>93</v>
      </c>
      <c r="F12" s="38"/>
    </row>
    <row r="13">
      <c r="A13" s="75" t="s">
        <v>110</v>
      </c>
      <c r="B13" s="106">
        <v>46146.0</v>
      </c>
      <c r="C13" s="77" t="s">
        <v>70</v>
      </c>
      <c r="D13" s="74">
        <v>1.0</v>
      </c>
      <c r="E13" s="107" t="s">
        <v>93</v>
      </c>
      <c r="F13" s="38"/>
    </row>
    <row r="14">
      <c r="A14" s="75" t="s">
        <v>196</v>
      </c>
      <c r="B14" s="106">
        <v>46146.0</v>
      </c>
      <c r="C14" s="77" t="s">
        <v>239</v>
      </c>
      <c r="D14" s="74">
        <v>1.0</v>
      </c>
      <c r="E14" s="107" t="s">
        <v>35</v>
      </c>
      <c r="F14" s="38"/>
    </row>
    <row r="15">
      <c r="A15" s="75" t="s">
        <v>124</v>
      </c>
      <c r="B15" s="106">
        <v>46146.0</v>
      </c>
      <c r="C15" s="77" t="s">
        <v>70</v>
      </c>
      <c r="D15" s="74">
        <v>0.5</v>
      </c>
      <c r="E15" s="107" t="s">
        <v>35</v>
      </c>
      <c r="F15" s="38"/>
    </row>
    <row r="16">
      <c r="A16" s="75" t="s">
        <v>161</v>
      </c>
      <c r="B16" s="106">
        <v>46147.0</v>
      </c>
      <c r="C16" s="77" t="s">
        <v>70</v>
      </c>
      <c r="D16" s="74">
        <v>1.0</v>
      </c>
      <c r="E16" s="107" t="s">
        <v>20</v>
      </c>
      <c r="F16" s="38" t="s">
        <v>20</v>
      </c>
    </row>
    <row r="17">
      <c r="A17" s="76" t="s">
        <v>110</v>
      </c>
      <c r="B17" s="106">
        <v>46147.0</v>
      </c>
      <c r="C17" s="77" t="s">
        <v>70</v>
      </c>
      <c r="D17" s="74">
        <v>0.8</v>
      </c>
      <c r="E17" s="107" t="s">
        <v>35</v>
      </c>
      <c r="F17" s="38" t="s">
        <v>157</v>
      </c>
    </row>
    <row r="18">
      <c r="A18" s="75" t="s">
        <v>119</v>
      </c>
      <c r="B18" s="106">
        <v>46147.0</v>
      </c>
      <c r="C18" s="77" t="s">
        <v>70</v>
      </c>
      <c r="D18" s="74">
        <v>0.6</v>
      </c>
      <c r="E18" s="107" t="s">
        <v>35</v>
      </c>
      <c r="F18" s="38" t="s">
        <v>157</v>
      </c>
    </row>
    <row r="19">
      <c r="A19" s="75" t="s">
        <v>125</v>
      </c>
      <c r="B19" s="106">
        <v>46147.0</v>
      </c>
      <c r="C19" s="77" t="s">
        <v>70</v>
      </c>
      <c r="D19" s="74">
        <v>2.0</v>
      </c>
      <c r="E19" s="107"/>
      <c r="F19" s="38" t="s">
        <v>151</v>
      </c>
    </row>
    <row r="20">
      <c r="A20" s="75" t="s">
        <v>323</v>
      </c>
      <c r="B20" s="106">
        <v>46147.0</v>
      </c>
      <c r="C20" s="77" t="s">
        <v>70</v>
      </c>
      <c r="D20" s="74">
        <v>6.0</v>
      </c>
      <c r="E20" s="107"/>
      <c r="F20" s="38" t="s">
        <v>126</v>
      </c>
    </row>
    <row r="21">
      <c r="A21" s="75" t="s">
        <v>149</v>
      </c>
      <c r="B21" s="106">
        <v>46147.0</v>
      </c>
      <c r="C21" s="77" t="s">
        <v>239</v>
      </c>
      <c r="D21" s="74">
        <v>1.0</v>
      </c>
      <c r="E21" s="107" t="s">
        <v>60</v>
      </c>
      <c r="F21" s="38" t="s">
        <v>157</v>
      </c>
    </row>
    <row r="22">
      <c r="A22" s="75" t="s">
        <v>474</v>
      </c>
      <c r="B22" s="106">
        <v>46147.0</v>
      </c>
      <c r="C22" s="77" t="s">
        <v>70</v>
      </c>
      <c r="D22" s="74">
        <v>3.0</v>
      </c>
      <c r="E22" s="107" t="s">
        <v>60</v>
      </c>
      <c r="F22" s="38" t="s">
        <v>157</v>
      </c>
    </row>
    <row r="23">
      <c r="A23" s="38" t="s">
        <v>475</v>
      </c>
      <c r="B23" s="106">
        <v>46147.0</v>
      </c>
      <c r="C23" s="77" t="s">
        <v>70</v>
      </c>
      <c r="D23" s="74">
        <v>6.0</v>
      </c>
      <c r="E23" s="107" t="s">
        <v>20</v>
      </c>
      <c r="F23" s="38" t="s">
        <v>155</v>
      </c>
    </row>
    <row r="24">
      <c r="A24" s="75" t="s">
        <v>154</v>
      </c>
      <c r="B24" s="106">
        <v>46148.0</v>
      </c>
      <c r="C24" s="77" t="s">
        <v>70</v>
      </c>
      <c r="D24" s="74">
        <v>3.0</v>
      </c>
      <c r="E24" s="107" t="s">
        <v>93</v>
      </c>
      <c r="F24" s="38"/>
    </row>
    <row r="25">
      <c r="A25" s="75" t="s">
        <v>161</v>
      </c>
      <c r="B25" s="106">
        <v>46148.0</v>
      </c>
      <c r="C25" s="77" t="s">
        <v>70</v>
      </c>
      <c r="D25" s="74">
        <v>1.0</v>
      </c>
      <c r="E25" s="107" t="s">
        <v>93</v>
      </c>
      <c r="F25" s="38"/>
    </row>
    <row r="26">
      <c r="A26" s="75" t="s">
        <v>124</v>
      </c>
      <c r="B26" s="106">
        <v>46148.0</v>
      </c>
      <c r="C26" s="77" t="s">
        <v>70</v>
      </c>
      <c r="D26" s="74">
        <v>0.5</v>
      </c>
      <c r="E26" s="107" t="s">
        <v>93</v>
      </c>
      <c r="F26" s="38"/>
    </row>
    <row r="27">
      <c r="A27" s="75" t="s">
        <v>199</v>
      </c>
      <c r="B27" s="106">
        <v>46148.0</v>
      </c>
      <c r="C27" s="77" t="s">
        <v>70</v>
      </c>
      <c r="D27" s="74">
        <v>1.0</v>
      </c>
      <c r="E27" s="107" t="s">
        <v>93</v>
      </c>
      <c r="F27" s="38"/>
    </row>
    <row r="28">
      <c r="A28" s="75" t="s">
        <v>326</v>
      </c>
      <c r="B28" s="106">
        <v>46148.0</v>
      </c>
      <c r="C28" s="77" t="s">
        <v>239</v>
      </c>
      <c r="D28" s="74">
        <v>1.0</v>
      </c>
      <c r="E28" s="107" t="s">
        <v>14</v>
      </c>
      <c r="F28" s="38"/>
    </row>
    <row r="29">
      <c r="A29" s="75" t="s">
        <v>172</v>
      </c>
      <c r="B29" s="106">
        <v>46148.0</v>
      </c>
      <c r="C29" s="77" t="s">
        <v>239</v>
      </c>
      <c r="D29" s="74">
        <v>1.0</v>
      </c>
      <c r="E29" s="107" t="s">
        <v>14</v>
      </c>
      <c r="F29" s="38"/>
    </row>
    <row r="30">
      <c r="A30" s="75" t="s">
        <v>119</v>
      </c>
      <c r="B30" s="106">
        <v>46148.0</v>
      </c>
      <c r="C30" s="77" t="s">
        <v>70</v>
      </c>
      <c r="D30" s="74">
        <v>0.5</v>
      </c>
      <c r="E30" s="107" t="s">
        <v>14</v>
      </c>
      <c r="F30" s="38"/>
    </row>
    <row r="31">
      <c r="A31" s="75" t="s">
        <v>125</v>
      </c>
      <c r="B31" s="106">
        <v>46148.0</v>
      </c>
      <c r="C31" s="77" t="s">
        <v>70</v>
      </c>
      <c r="D31" s="74">
        <v>2.0</v>
      </c>
      <c r="E31" s="107" t="s">
        <v>20</v>
      </c>
      <c r="F31" s="38"/>
    </row>
    <row r="32">
      <c r="A32" s="75" t="s">
        <v>190</v>
      </c>
      <c r="B32" s="106">
        <v>46148.0</v>
      </c>
      <c r="C32" s="77" t="s">
        <v>70</v>
      </c>
      <c r="D32" s="74">
        <v>2.0</v>
      </c>
      <c r="E32" s="107" t="s">
        <v>14</v>
      </c>
      <c r="F32" s="38"/>
    </row>
    <row r="33">
      <c r="A33" s="38" t="s">
        <v>142</v>
      </c>
      <c r="B33" s="106">
        <v>46148.0</v>
      </c>
      <c r="C33" s="77" t="s">
        <v>70</v>
      </c>
      <c r="D33" s="74">
        <v>1.0</v>
      </c>
      <c r="E33" s="107" t="s">
        <v>20</v>
      </c>
      <c r="F33" s="38"/>
    </row>
    <row r="34">
      <c r="A34" s="75" t="s">
        <v>159</v>
      </c>
      <c r="B34" s="106">
        <v>46148.0</v>
      </c>
      <c r="C34" s="77" t="s">
        <v>239</v>
      </c>
      <c r="D34" s="74">
        <v>1.0</v>
      </c>
      <c r="E34" s="107" t="s">
        <v>14</v>
      </c>
      <c r="F34" s="38"/>
    </row>
    <row r="35">
      <c r="A35" s="38" t="s">
        <v>133</v>
      </c>
      <c r="B35" s="106">
        <v>46148.0</v>
      </c>
      <c r="C35" s="77" t="s">
        <v>70</v>
      </c>
      <c r="D35" s="74">
        <v>20.0</v>
      </c>
      <c r="E35" s="107" t="s">
        <v>43</v>
      </c>
      <c r="F35" s="38"/>
    </row>
    <row r="36">
      <c r="A36" s="75" t="s">
        <v>179</v>
      </c>
      <c r="B36" s="106">
        <v>46148.0</v>
      </c>
      <c r="C36" s="77" t="s">
        <v>70</v>
      </c>
      <c r="D36" s="74">
        <v>1.0</v>
      </c>
      <c r="E36" s="107" t="s">
        <v>20</v>
      </c>
      <c r="F36" s="38"/>
    </row>
    <row r="37">
      <c r="A37" s="75" t="s">
        <v>476</v>
      </c>
      <c r="B37" s="106">
        <v>46148.0</v>
      </c>
      <c r="C37" s="77" t="s">
        <v>70</v>
      </c>
      <c r="D37" s="74">
        <v>6.0</v>
      </c>
      <c r="E37" s="107" t="s">
        <v>20</v>
      </c>
      <c r="F37" s="38"/>
    </row>
    <row r="38">
      <c r="A38" s="75" t="s">
        <v>444</v>
      </c>
      <c r="B38" s="106">
        <v>46148.0</v>
      </c>
      <c r="C38" s="77" t="s">
        <v>239</v>
      </c>
      <c r="D38" s="74">
        <v>2.0</v>
      </c>
      <c r="E38" s="107" t="s">
        <v>93</v>
      </c>
      <c r="F38" s="38"/>
    </row>
    <row r="39">
      <c r="A39" s="75" t="s">
        <v>154</v>
      </c>
      <c r="B39" s="106">
        <v>46149.0</v>
      </c>
      <c r="C39" s="77" t="s">
        <v>70</v>
      </c>
      <c r="D39" s="74">
        <v>4.5</v>
      </c>
      <c r="E39" s="107" t="s">
        <v>93</v>
      </c>
      <c r="F39" s="38"/>
    </row>
    <row r="40">
      <c r="A40" s="38" t="s">
        <v>147</v>
      </c>
      <c r="B40" s="106">
        <v>46149.0</v>
      </c>
      <c r="C40" s="77" t="s">
        <v>70</v>
      </c>
      <c r="D40" s="74">
        <v>7.0</v>
      </c>
      <c r="E40" s="107" t="s">
        <v>93</v>
      </c>
      <c r="F40" s="38"/>
    </row>
    <row r="41">
      <c r="A41" s="75" t="s">
        <v>177</v>
      </c>
      <c r="B41" s="106">
        <v>46149.0</v>
      </c>
      <c r="C41" s="77" t="s">
        <v>239</v>
      </c>
      <c r="D41" s="74">
        <v>1.0</v>
      </c>
      <c r="E41" s="107" t="s">
        <v>35</v>
      </c>
      <c r="F41" s="38"/>
    </row>
    <row r="42">
      <c r="A42" s="75" t="s">
        <v>124</v>
      </c>
      <c r="B42" s="106">
        <v>46149.0</v>
      </c>
      <c r="C42" s="77" t="s">
        <v>70</v>
      </c>
      <c r="D42" s="74">
        <v>0.5</v>
      </c>
      <c r="E42" s="107" t="s">
        <v>35</v>
      </c>
      <c r="F42" s="38"/>
    </row>
    <row r="43">
      <c r="A43" s="75" t="s">
        <v>172</v>
      </c>
      <c r="B43" s="106">
        <v>46149.0</v>
      </c>
      <c r="C43" s="77" t="s">
        <v>239</v>
      </c>
      <c r="D43" s="74">
        <v>1.0</v>
      </c>
      <c r="E43" s="107" t="s">
        <v>35</v>
      </c>
      <c r="F43" s="38"/>
    </row>
    <row r="44">
      <c r="A44" s="75" t="s">
        <v>110</v>
      </c>
      <c r="B44" s="106">
        <v>46149.0</v>
      </c>
      <c r="C44" s="77" t="s">
        <v>70</v>
      </c>
      <c r="D44" s="74">
        <v>0.5</v>
      </c>
      <c r="E44" s="107" t="s">
        <v>35</v>
      </c>
      <c r="F44" s="38"/>
    </row>
    <row r="45">
      <c r="A45" s="75" t="s">
        <v>341</v>
      </c>
      <c r="B45" s="106">
        <v>46149.0</v>
      </c>
      <c r="C45" s="77" t="s">
        <v>70</v>
      </c>
      <c r="D45" s="74">
        <v>0.25</v>
      </c>
      <c r="E45" s="107" t="s">
        <v>35</v>
      </c>
      <c r="F45" s="38"/>
    </row>
    <row r="46">
      <c r="A46" s="75" t="s">
        <v>142</v>
      </c>
      <c r="B46" s="106">
        <v>46149.0</v>
      </c>
      <c r="C46" s="77" t="s">
        <v>70</v>
      </c>
      <c r="D46" s="74">
        <v>3.0</v>
      </c>
      <c r="E46" s="107" t="s">
        <v>58</v>
      </c>
      <c r="F46" s="38"/>
    </row>
    <row r="47">
      <c r="A47" s="75" t="s">
        <v>114</v>
      </c>
      <c r="B47" s="106">
        <v>46149.0</v>
      </c>
      <c r="C47" s="77" t="s">
        <v>303</v>
      </c>
      <c r="D47" s="74">
        <v>1.0</v>
      </c>
      <c r="E47" s="107" t="s">
        <v>93</v>
      </c>
      <c r="F47" s="38"/>
    </row>
    <row r="48">
      <c r="A48" s="75" t="s">
        <v>456</v>
      </c>
      <c r="B48" s="106">
        <v>46149.0</v>
      </c>
      <c r="C48" s="77" t="s">
        <v>70</v>
      </c>
      <c r="D48" s="74">
        <v>8.0</v>
      </c>
      <c r="E48" s="107"/>
      <c r="F48" s="38"/>
    </row>
    <row r="49">
      <c r="A49" s="75" t="s">
        <v>133</v>
      </c>
      <c r="B49" s="106">
        <v>46149.0</v>
      </c>
      <c r="C49" s="77" t="s">
        <v>70</v>
      </c>
      <c r="D49" s="74">
        <v>20.0</v>
      </c>
      <c r="E49" s="107" t="s">
        <v>43</v>
      </c>
      <c r="F49" s="38"/>
    </row>
    <row r="50">
      <c r="A50" s="75" t="s">
        <v>152</v>
      </c>
      <c r="B50" s="106">
        <v>46149.0</v>
      </c>
      <c r="C50" s="77" t="s">
        <v>70</v>
      </c>
      <c r="D50" s="74">
        <v>2.5</v>
      </c>
      <c r="E50" s="107" t="s">
        <v>20</v>
      </c>
      <c r="F50" s="38"/>
    </row>
    <row r="51">
      <c r="A51" s="75" t="s">
        <v>474</v>
      </c>
      <c r="B51" s="106">
        <v>46149.0</v>
      </c>
      <c r="C51" s="77" t="s">
        <v>70</v>
      </c>
      <c r="D51" s="74">
        <v>1.0</v>
      </c>
      <c r="E51" s="107" t="s">
        <v>58</v>
      </c>
      <c r="F51" s="38"/>
    </row>
    <row r="52">
      <c r="A52" s="75" t="s">
        <v>444</v>
      </c>
      <c r="B52" s="106">
        <v>46149.0</v>
      </c>
      <c r="C52" s="77" t="s">
        <v>239</v>
      </c>
      <c r="D52" s="74">
        <v>1.0</v>
      </c>
      <c r="E52" s="107" t="s">
        <v>93</v>
      </c>
      <c r="F52" s="38"/>
    </row>
    <row r="53">
      <c r="A53" s="75" t="s">
        <v>154</v>
      </c>
      <c r="B53" s="106">
        <v>46150.0</v>
      </c>
      <c r="C53" s="77" t="s">
        <v>70</v>
      </c>
      <c r="D53" s="74">
        <v>3.0</v>
      </c>
      <c r="E53" s="107" t="s">
        <v>477</v>
      </c>
      <c r="F53" s="38"/>
    </row>
    <row r="54">
      <c r="A54" s="75" t="s">
        <v>124</v>
      </c>
      <c r="B54" s="106">
        <v>46150.0</v>
      </c>
      <c r="C54" s="77" t="s">
        <v>239</v>
      </c>
      <c r="D54" s="74">
        <v>1.0</v>
      </c>
      <c r="E54" s="107"/>
      <c r="F54" s="38"/>
    </row>
    <row r="55">
      <c r="A55" s="75" t="s">
        <v>172</v>
      </c>
      <c r="B55" s="106">
        <v>46150.0</v>
      </c>
      <c r="C55" s="77" t="s">
        <v>239</v>
      </c>
      <c r="D55" s="74">
        <v>1.0</v>
      </c>
      <c r="E55" s="107"/>
      <c r="F55" s="38"/>
    </row>
    <row r="56">
      <c r="A56" s="75" t="s">
        <v>132</v>
      </c>
      <c r="B56" s="106">
        <v>46150.0</v>
      </c>
      <c r="C56" s="77" t="s">
        <v>70</v>
      </c>
      <c r="D56" s="74">
        <v>2.0</v>
      </c>
      <c r="E56" s="107"/>
      <c r="F56" s="38"/>
    </row>
    <row r="57">
      <c r="A57" s="75" t="s">
        <v>110</v>
      </c>
      <c r="B57" s="106">
        <v>46150.0</v>
      </c>
      <c r="C57" s="77" t="s">
        <v>70</v>
      </c>
      <c r="D57" s="74">
        <v>1.0</v>
      </c>
      <c r="E57" s="107"/>
      <c r="F57" s="38"/>
    </row>
    <row r="58">
      <c r="A58" s="75" t="s">
        <v>337</v>
      </c>
      <c r="B58" s="106">
        <v>46150.0</v>
      </c>
      <c r="C58" s="77" t="s">
        <v>70</v>
      </c>
      <c r="D58" s="74">
        <v>0.25</v>
      </c>
      <c r="E58" s="107"/>
      <c r="F58" s="38"/>
    </row>
    <row r="59">
      <c r="A59" s="75" t="s">
        <v>348</v>
      </c>
      <c r="B59" s="106">
        <v>46150.0</v>
      </c>
      <c r="C59" s="77" t="s">
        <v>70</v>
      </c>
      <c r="D59" s="74">
        <v>0.25</v>
      </c>
      <c r="E59" s="107"/>
      <c r="F59" s="38"/>
    </row>
    <row r="60">
      <c r="A60" s="75" t="s">
        <v>125</v>
      </c>
      <c r="B60" s="106">
        <v>46150.0</v>
      </c>
      <c r="C60" s="77" t="s">
        <v>70</v>
      </c>
      <c r="D60" s="74">
        <v>2.0</v>
      </c>
      <c r="E60" s="107"/>
      <c r="F60" s="38"/>
    </row>
    <row r="61">
      <c r="A61" s="75" t="s">
        <v>353</v>
      </c>
      <c r="B61" s="106">
        <v>46150.0</v>
      </c>
      <c r="C61" s="77" t="s">
        <v>70</v>
      </c>
      <c r="D61" s="74">
        <v>0.5</v>
      </c>
      <c r="E61" s="107"/>
      <c r="F61" s="38"/>
    </row>
    <row r="62">
      <c r="A62" s="75" t="s">
        <v>142</v>
      </c>
      <c r="B62" s="106">
        <v>46150.0</v>
      </c>
      <c r="C62" s="77" t="s">
        <v>70</v>
      </c>
      <c r="D62" s="74">
        <v>3.0</v>
      </c>
      <c r="E62" s="107"/>
      <c r="F62" s="38"/>
    </row>
    <row r="63">
      <c r="A63" s="75" t="s">
        <v>372</v>
      </c>
      <c r="B63" s="106">
        <v>46150.0</v>
      </c>
      <c r="C63" s="77" t="s">
        <v>70</v>
      </c>
      <c r="D63" s="74">
        <v>1.0</v>
      </c>
      <c r="E63" s="107"/>
      <c r="F63" s="38"/>
    </row>
    <row r="64">
      <c r="A64" s="75" t="s">
        <v>162</v>
      </c>
      <c r="B64" s="106">
        <v>46150.0</v>
      </c>
      <c r="C64" s="77" t="s">
        <v>239</v>
      </c>
      <c r="D64" s="74">
        <v>2.0</v>
      </c>
      <c r="E64" s="107"/>
      <c r="F64" s="38"/>
    </row>
    <row r="65">
      <c r="A65" s="75" t="s">
        <v>381</v>
      </c>
      <c r="B65" s="106">
        <v>46150.0</v>
      </c>
      <c r="C65" s="77" t="s">
        <v>70</v>
      </c>
      <c r="D65" s="74">
        <v>0.5</v>
      </c>
      <c r="E65" s="107"/>
      <c r="F65" s="38"/>
    </row>
    <row r="66">
      <c r="A66" s="75" t="s">
        <v>178</v>
      </c>
      <c r="B66" s="106">
        <v>46150.0</v>
      </c>
      <c r="C66" s="77" t="s">
        <v>70</v>
      </c>
      <c r="D66" s="74">
        <v>3.0</v>
      </c>
      <c r="E66" s="107"/>
      <c r="F66" s="38"/>
    </row>
    <row r="67">
      <c r="A67" s="75" t="s">
        <v>133</v>
      </c>
      <c r="B67" s="106">
        <v>46150.0</v>
      </c>
      <c r="C67" s="77" t="s">
        <v>70</v>
      </c>
      <c r="D67" s="74">
        <v>32.0</v>
      </c>
      <c r="E67" s="107"/>
      <c r="F67" s="38"/>
    </row>
    <row r="68">
      <c r="A68" s="75" t="s">
        <v>220</v>
      </c>
      <c r="B68" s="106">
        <v>46150.0</v>
      </c>
      <c r="C68" s="77" t="s">
        <v>239</v>
      </c>
      <c r="D68" s="74">
        <v>1.0</v>
      </c>
      <c r="E68" s="107"/>
      <c r="F68" s="38"/>
    </row>
    <row r="69">
      <c r="A69" s="75" t="s">
        <v>461</v>
      </c>
      <c r="B69" s="106">
        <v>46150.0</v>
      </c>
      <c r="C69" s="77" t="s">
        <v>70</v>
      </c>
      <c r="D69" s="74">
        <v>0.25</v>
      </c>
      <c r="E69" s="107"/>
      <c r="F69" s="38"/>
    </row>
    <row r="70">
      <c r="A70" s="75" t="s">
        <v>474</v>
      </c>
      <c r="B70" s="106">
        <v>46150.0</v>
      </c>
      <c r="C70" s="77" t="s">
        <v>70</v>
      </c>
      <c r="D70" s="74">
        <v>2.0</v>
      </c>
      <c r="E70" s="107"/>
      <c r="F70" s="38"/>
    </row>
    <row r="71">
      <c r="A71" s="75" t="s">
        <v>114</v>
      </c>
      <c r="B71" s="106">
        <v>46150.0</v>
      </c>
      <c r="C71" s="77" t="s">
        <v>303</v>
      </c>
      <c r="D71" s="74">
        <v>1.0</v>
      </c>
      <c r="E71" s="107"/>
      <c r="F71" s="38"/>
    </row>
    <row r="72">
      <c r="A72" s="75" t="s">
        <v>140</v>
      </c>
      <c r="B72" s="106">
        <v>46150.0</v>
      </c>
      <c r="C72" s="77" t="s">
        <v>70</v>
      </c>
      <c r="D72" s="74">
        <v>0.5</v>
      </c>
      <c r="E72" s="107" t="s">
        <v>43</v>
      </c>
      <c r="F72" s="38"/>
    </row>
    <row r="73">
      <c r="A73" s="75" t="s">
        <v>323</v>
      </c>
      <c r="B73" s="106">
        <v>46150.0</v>
      </c>
      <c r="C73" s="77" t="s">
        <v>70</v>
      </c>
      <c r="D73" s="74">
        <v>2.0</v>
      </c>
      <c r="E73" s="107" t="s">
        <v>126</v>
      </c>
      <c r="F73" s="38"/>
    </row>
    <row r="74">
      <c r="A74" s="75" t="s">
        <v>323</v>
      </c>
      <c r="B74" s="106">
        <v>46150.0</v>
      </c>
      <c r="C74" s="77" t="s">
        <v>70</v>
      </c>
      <c r="D74" s="74">
        <v>8.0</v>
      </c>
      <c r="E74" s="107" t="s">
        <v>478</v>
      </c>
      <c r="F74" s="38"/>
    </row>
    <row r="75">
      <c r="A75" s="75" t="s">
        <v>121</v>
      </c>
      <c r="B75" s="106">
        <v>46151.0</v>
      </c>
      <c r="C75" s="77" t="s">
        <v>239</v>
      </c>
      <c r="D75" s="74">
        <v>6.0</v>
      </c>
      <c r="E75" s="107" t="s">
        <v>43</v>
      </c>
      <c r="F75" s="38" t="s">
        <v>157</v>
      </c>
    </row>
    <row r="76">
      <c r="A76" s="75" t="s">
        <v>177</v>
      </c>
      <c r="B76" s="106">
        <v>46151.0</v>
      </c>
      <c r="C76" s="89" t="s">
        <v>70</v>
      </c>
      <c r="D76" s="90">
        <v>1.25</v>
      </c>
      <c r="E76" s="107"/>
      <c r="F76" s="38" t="s">
        <v>20</v>
      </c>
      <c r="G76" s="85" t="s">
        <v>479</v>
      </c>
    </row>
    <row r="77">
      <c r="A77" s="75" t="s">
        <v>152</v>
      </c>
      <c r="B77" s="106">
        <v>46151.0</v>
      </c>
      <c r="C77" s="77" t="s">
        <v>70</v>
      </c>
      <c r="D77" s="74">
        <v>1.0</v>
      </c>
      <c r="E77" s="107"/>
      <c r="F77" s="38" t="s">
        <v>20</v>
      </c>
      <c r="G77" s="85" t="s">
        <v>480</v>
      </c>
    </row>
    <row r="78">
      <c r="A78" s="75" t="s">
        <v>190</v>
      </c>
      <c r="B78" s="106">
        <v>46151.0</v>
      </c>
      <c r="C78" s="77" t="s">
        <v>239</v>
      </c>
      <c r="D78" s="74">
        <v>0.25</v>
      </c>
      <c r="E78" s="107"/>
      <c r="F78" s="38" t="s">
        <v>481</v>
      </c>
    </row>
    <row r="79">
      <c r="A79" s="75" t="s">
        <v>142</v>
      </c>
      <c r="B79" s="106">
        <v>46151.0</v>
      </c>
      <c r="C79" s="77" t="s">
        <v>70</v>
      </c>
      <c r="D79" s="74">
        <v>0.8</v>
      </c>
      <c r="E79" s="107" t="s">
        <v>20</v>
      </c>
      <c r="F79" s="38" t="s">
        <v>20</v>
      </c>
    </row>
    <row r="80">
      <c r="A80" s="75" t="s">
        <v>163</v>
      </c>
      <c r="B80" s="106">
        <v>46151.0</v>
      </c>
      <c r="C80" s="77" t="s">
        <v>70</v>
      </c>
      <c r="D80" s="74"/>
      <c r="E80" s="107" t="s">
        <v>20</v>
      </c>
      <c r="F80" s="38" t="s">
        <v>20</v>
      </c>
    </row>
    <row r="81">
      <c r="A81" s="38" t="s">
        <v>381</v>
      </c>
      <c r="B81" s="106">
        <v>46151.0</v>
      </c>
      <c r="C81" s="77" t="s">
        <v>469</v>
      </c>
      <c r="D81" s="74">
        <v>15.0</v>
      </c>
      <c r="E81" s="107" t="s">
        <v>20</v>
      </c>
      <c r="F81" s="38" t="s">
        <v>20</v>
      </c>
    </row>
    <row r="82">
      <c r="A82" s="75" t="s">
        <v>142</v>
      </c>
      <c r="B82" s="106">
        <v>46151.0</v>
      </c>
      <c r="C82" s="77" t="s">
        <v>70</v>
      </c>
      <c r="D82" s="74">
        <v>3.0</v>
      </c>
      <c r="E82" s="107" t="s">
        <v>20</v>
      </c>
      <c r="F82" s="38" t="s">
        <v>20</v>
      </c>
    </row>
    <row r="83">
      <c r="A83" s="75" t="s">
        <v>163</v>
      </c>
      <c r="B83" s="106">
        <v>46151.0</v>
      </c>
      <c r="C83" s="77" t="s">
        <v>70</v>
      </c>
      <c r="D83" s="74">
        <v>2.0</v>
      </c>
      <c r="E83" s="107" t="s">
        <v>20</v>
      </c>
      <c r="F83" s="38" t="s">
        <v>20</v>
      </c>
    </row>
    <row r="84">
      <c r="A84" s="75" t="s">
        <v>169</v>
      </c>
      <c r="B84" s="106">
        <v>46151.0</v>
      </c>
      <c r="C84" s="77" t="s">
        <v>70</v>
      </c>
      <c r="D84" s="74">
        <v>4.0</v>
      </c>
      <c r="E84" s="107" t="s">
        <v>20</v>
      </c>
      <c r="F84" s="38" t="s">
        <v>20</v>
      </c>
    </row>
    <row r="85">
      <c r="A85" s="75" t="s">
        <v>476</v>
      </c>
      <c r="B85" s="106">
        <v>46151.0</v>
      </c>
      <c r="C85" s="77" t="s">
        <v>70</v>
      </c>
      <c r="D85" s="74">
        <v>2.0</v>
      </c>
      <c r="E85" s="107" t="s">
        <v>20</v>
      </c>
      <c r="F85" s="38" t="s">
        <v>20</v>
      </c>
    </row>
    <row r="86">
      <c r="A86" s="75" t="s">
        <v>147</v>
      </c>
      <c r="B86" s="106">
        <v>46153.0</v>
      </c>
      <c r="C86" s="77" t="s">
        <v>70</v>
      </c>
      <c r="D86" s="74">
        <v>11.0</v>
      </c>
      <c r="E86" s="107" t="s">
        <v>20</v>
      </c>
      <c r="F86" s="38"/>
    </row>
    <row r="87">
      <c r="A87" s="75" t="s">
        <v>154</v>
      </c>
      <c r="B87" s="106">
        <v>46152.0</v>
      </c>
      <c r="C87" s="77" t="s">
        <v>70</v>
      </c>
      <c r="D87" s="74">
        <v>2.0</v>
      </c>
      <c r="E87" s="107" t="s">
        <v>477</v>
      </c>
      <c r="F87" s="38"/>
    </row>
    <row r="88">
      <c r="A88" s="75" t="s">
        <v>199</v>
      </c>
      <c r="B88" s="106">
        <v>46152.0</v>
      </c>
      <c r="C88" s="77" t="s">
        <v>70</v>
      </c>
      <c r="D88" s="74">
        <v>0.5</v>
      </c>
      <c r="E88" s="107" t="s">
        <v>14</v>
      </c>
      <c r="F88" s="38"/>
    </row>
    <row r="89">
      <c r="A89" s="75" t="s">
        <v>152</v>
      </c>
      <c r="B89" s="106">
        <v>46152.0</v>
      </c>
      <c r="C89" s="77" t="s">
        <v>70</v>
      </c>
      <c r="D89" s="74">
        <v>3.0</v>
      </c>
      <c r="E89" s="107" t="s">
        <v>20</v>
      </c>
      <c r="F89" s="38"/>
    </row>
    <row r="90">
      <c r="A90" s="75" t="s">
        <v>341</v>
      </c>
      <c r="B90" s="106">
        <v>46152.0</v>
      </c>
      <c r="C90" s="77" t="s">
        <v>70</v>
      </c>
      <c r="D90" s="74">
        <v>1.5</v>
      </c>
      <c r="E90" s="107" t="s">
        <v>45</v>
      </c>
      <c r="F90" s="38"/>
    </row>
    <row r="91">
      <c r="A91" s="38" t="s">
        <v>119</v>
      </c>
      <c r="B91" s="106">
        <v>46152.0</v>
      </c>
      <c r="C91" s="77" t="s">
        <v>70</v>
      </c>
      <c r="D91" s="74">
        <v>1.25</v>
      </c>
      <c r="E91" s="107" t="s">
        <v>45</v>
      </c>
      <c r="F91" s="38"/>
    </row>
    <row r="92">
      <c r="A92" s="75" t="s">
        <v>401</v>
      </c>
      <c r="B92" s="106">
        <v>46152.0</v>
      </c>
      <c r="C92" s="77" t="s">
        <v>70</v>
      </c>
      <c r="D92" s="74">
        <v>18.0</v>
      </c>
      <c r="E92" s="107" t="s">
        <v>135</v>
      </c>
      <c r="F92" s="38"/>
    </row>
    <row r="93">
      <c r="A93" s="75" t="s">
        <v>182</v>
      </c>
      <c r="B93" s="106">
        <v>46152.0</v>
      </c>
      <c r="C93" s="77" t="s">
        <v>70</v>
      </c>
      <c r="D93" s="74">
        <v>20.0</v>
      </c>
      <c r="E93" s="107" t="s">
        <v>45</v>
      </c>
      <c r="F93" s="38"/>
    </row>
    <row r="94">
      <c r="A94" s="75" t="s">
        <v>118</v>
      </c>
      <c r="B94" s="106">
        <v>46152.0</v>
      </c>
      <c r="C94" s="77" t="s">
        <v>70</v>
      </c>
      <c r="D94" s="74">
        <v>0.25</v>
      </c>
      <c r="E94" s="107" t="s">
        <v>93</v>
      </c>
      <c r="F94" s="38"/>
    </row>
    <row r="95">
      <c r="A95" s="75" t="s">
        <v>444</v>
      </c>
      <c r="B95" s="106">
        <v>46152.0</v>
      </c>
      <c r="C95" s="77" t="s">
        <v>239</v>
      </c>
      <c r="D95" s="74">
        <v>1.0</v>
      </c>
      <c r="E95" s="107" t="s">
        <v>93</v>
      </c>
      <c r="F95" s="38"/>
    </row>
    <row r="96">
      <c r="A96" s="75" t="s">
        <v>114</v>
      </c>
      <c r="B96" s="106">
        <v>46152.0</v>
      </c>
      <c r="C96" s="77" t="s">
        <v>303</v>
      </c>
      <c r="D96" s="74">
        <v>1.0</v>
      </c>
      <c r="E96" s="107" t="s">
        <v>93</v>
      </c>
      <c r="F96" s="38"/>
    </row>
    <row r="97">
      <c r="A97" s="38" t="s">
        <v>154</v>
      </c>
      <c r="B97" s="106">
        <v>46153.0</v>
      </c>
      <c r="C97" s="77" t="s">
        <v>70</v>
      </c>
      <c r="D97" s="74">
        <v>8.0</v>
      </c>
      <c r="E97" s="107" t="s">
        <v>93</v>
      </c>
      <c r="F97" s="38"/>
    </row>
    <row r="98">
      <c r="A98" s="38" t="s">
        <v>161</v>
      </c>
      <c r="B98" s="106">
        <v>46153.0</v>
      </c>
      <c r="C98" s="77" t="s">
        <v>70</v>
      </c>
      <c r="D98" s="74">
        <v>1.0</v>
      </c>
      <c r="E98" s="107"/>
      <c r="F98" s="38"/>
    </row>
    <row r="99">
      <c r="A99" s="38" t="s">
        <v>196</v>
      </c>
      <c r="B99" s="106">
        <v>46153.0</v>
      </c>
      <c r="C99" s="77" t="s">
        <v>239</v>
      </c>
      <c r="D99" s="74">
        <v>1.0</v>
      </c>
      <c r="E99" s="107"/>
      <c r="F99" s="38"/>
    </row>
    <row r="100">
      <c r="A100" s="75" t="s">
        <v>124</v>
      </c>
      <c r="B100" s="106">
        <v>46153.0</v>
      </c>
      <c r="C100" s="77" t="s">
        <v>70</v>
      </c>
      <c r="D100" s="74">
        <v>0.5</v>
      </c>
      <c r="E100" s="107"/>
      <c r="F100" s="38"/>
    </row>
    <row r="101">
      <c r="A101" s="75" t="s">
        <v>132</v>
      </c>
      <c r="B101" s="106">
        <v>46153.0</v>
      </c>
      <c r="C101" s="77" t="s">
        <v>70</v>
      </c>
      <c r="D101" s="74">
        <v>5.0</v>
      </c>
      <c r="E101" s="107"/>
      <c r="F101" s="38"/>
    </row>
    <row r="102">
      <c r="A102" s="75" t="s">
        <v>172</v>
      </c>
      <c r="B102" s="106">
        <v>46153.0</v>
      </c>
      <c r="C102" s="77" t="s">
        <v>239</v>
      </c>
      <c r="D102" s="74">
        <v>1.0</v>
      </c>
      <c r="E102" s="107"/>
      <c r="F102" s="38"/>
    </row>
    <row r="103">
      <c r="A103" s="75" t="s">
        <v>110</v>
      </c>
      <c r="B103" s="106">
        <v>46153.0</v>
      </c>
      <c r="C103" s="77" t="s">
        <v>70</v>
      </c>
      <c r="D103" s="74">
        <v>1.0</v>
      </c>
      <c r="E103" s="107"/>
      <c r="F103" s="38"/>
    </row>
    <row r="104">
      <c r="A104" s="75" t="s">
        <v>214</v>
      </c>
      <c r="B104" s="106">
        <v>46153.0</v>
      </c>
      <c r="C104" s="77" t="s">
        <v>239</v>
      </c>
      <c r="D104" s="38">
        <v>1.0</v>
      </c>
      <c r="E104" s="107"/>
      <c r="F104" s="38"/>
    </row>
    <row r="105">
      <c r="A105" s="75" t="s">
        <v>364</v>
      </c>
      <c r="B105" s="106">
        <v>46153.0</v>
      </c>
      <c r="C105" s="77" t="s">
        <v>70</v>
      </c>
      <c r="D105" s="38">
        <v>1.0</v>
      </c>
      <c r="E105" s="107"/>
      <c r="F105" s="38"/>
    </row>
    <row r="106">
      <c r="A106" s="75" t="s">
        <v>162</v>
      </c>
      <c r="B106" s="106">
        <v>46153.0</v>
      </c>
      <c r="C106" s="77" t="s">
        <v>70</v>
      </c>
      <c r="D106" s="38">
        <v>0.5</v>
      </c>
      <c r="E106" s="107"/>
      <c r="F106" s="38"/>
    </row>
    <row r="107">
      <c r="A107" s="75" t="s">
        <v>133</v>
      </c>
      <c r="B107" s="106">
        <v>46153.0</v>
      </c>
      <c r="C107" s="77" t="s">
        <v>70</v>
      </c>
      <c r="D107" s="38">
        <v>30.0</v>
      </c>
      <c r="E107" s="107"/>
      <c r="F107" s="38"/>
    </row>
    <row r="108">
      <c r="A108" s="75" t="s">
        <v>118</v>
      </c>
      <c r="B108" s="106">
        <v>46153.0</v>
      </c>
      <c r="C108" s="77" t="s">
        <v>70</v>
      </c>
      <c r="D108" s="38">
        <v>1.0</v>
      </c>
      <c r="E108" s="107"/>
      <c r="F108" s="38"/>
    </row>
    <row r="109">
      <c r="A109" s="75" t="s">
        <v>474</v>
      </c>
      <c r="B109" s="106">
        <v>46153.0</v>
      </c>
      <c r="C109" s="77" t="s">
        <v>70</v>
      </c>
      <c r="D109" s="38">
        <v>1.0</v>
      </c>
      <c r="E109" s="107"/>
      <c r="F109" s="38"/>
    </row>
    <row r="110">
      <c r="A110" s="75" t="s">
        <v>130</v>
      </c>
      <c r="B110" s="106">
        <v>46153.0</v>
      </c>
      <c r="C110" s="77" t="s">
        <v>70</v>
      </c>
      <c r="D110" s="38">
        <v>2.0</v>
      </c>
      <c r="E110" s="107"/>
      <c r="F110" s="38"/>
    </row>
    <row r="111">
      <c r="A111" s="75" t="s">
        <v>444</v>
      </c>
      <c r="B111" s="106">
        <v>46153.0</v>
      </c>
      <c r="C111" s="77" t="s">
        <v>70</v>
      </c>
      <c r="D111" s="38">
        <v>2.0</v>
      </c>
      <c r="E111" s="107"/>
      <c r="F111" s="38"/>
    </row>
    <row r="112">
      <c r="A112" s="75" t="s">
        <v>201</v>
      </c>
      <c r="B112" s="106">
        <v>46153.0</v>
      </c>
      <c r="C112" s="77" t="s">
        <v>70</v>
      </c>
      <c r="D112" s="38">
        <v>1.0</v>
      </c>
      <c r="E112" s="107"/>
      <c r="F112" s="38"/>
    </row>
    <row r="113">
      <c r="A113" s="75" t="s">
        <v>154</v>
      </c>
      <c r="B113" s="106">
        <v>46153.0</v>
      </c>
      <c r="C113" s="77" t="s">
        <v>70</v>
      </c>
      <c r="D113" s="38">
        <v>5.5</v>
      </c>
      <c r="E113" s="107"/>
      <c r="F113" s="38"/>
    </row>
    <row r="114">
      <c r="A114" s="75" t="s">
        <v>124</v>
      </c>
      <c r="B114" s="106">
        <v>46153.0</v>
      </c>
      <c r="C114" s="77" t="s">
        <v>70</v>
      </c>
      <c r="D114" s="38">
        <v>0.5</v>
      </c>
      <c r="E114" s="107"/>
      <c r="F114" s="38"/>
    </row>
    <row r="115">
      <c r="A115" s="75" t="s">
        <v>132</v>
      </c>
      <c r="B115" s="106">
        <v>46153.0</v>
      </c>
      <c r="C115" s="77" t="s">
        <v>70</v>
      </c>
      <c r="D115" s="38">
        <v>2.0</v>
      </c>
      <c r="E115" s="107"/>
      <c r="F115" s="38"/>
    </row>
    <row r="116">
      <c r="A116" s="75" t="s">
        <v>110</v>
      </c>
      <c r="B116" s="106">
        <v>46153.0</v>
      </c>
      <c r="C116" s="77" t="s">
        <v>70</v>
      </c>
      <c r="D116" s="38">
        <v>0.5</v>
      </c>
      <c r="E116" s="107"/>
      <c r="F116" s="38"/>
    </row>
    <row r="117">
      <c r="A117" s="75" t="s">
        <v>125</v>
      </c>
      <c r="B117" s="106">
        <v>46153.0</v>
      </c>
      <c r="C117" s="77" t="s">
        <v>70</v>
      </c>
      <c r="D117" s="38">
        <v>2.0</v>
      </c>
      <c r="E117" s="107"/>
      <c r="F117" s="38"/>
    </row>
    <row r="118">
      <c r="A118" s="75" t="s">
        <v>482</v>
      </c>
      <c r="B118" s="106">
        <v>46153.0</v>
      </c>
      <c r="C118" s="77" t="s">
        <v>70</v>
      </c>
      <c r="D118" s="38">
        <v>3.0</v>
      </c>
      <c r="E118" s="107"/>
      <c r="F118" s="38"/>
    </row>
    <row r="119">
      <c r="A119" s="75" t="s">
        <v>114</v>
      </c>
      <c r="B119" s="106">
        <v>46153.0</v>
      </c>
      <c r="C119" s="77" t="s">
        <v>303</v>
      </c>
      <c r="D119" s="38">
        <v>1.0</v>
      </c>
      <c r="E119" s="107"/>
      <c r="F119" s="38"/>
    </row>
    <row r="120">
      <c r="A120" s="75" t="s">
        <v>172</v>
      </c>
      <c r="B120" s="106">
        <v>46153.0</v>
      </c>
      <c r="C120" s="77" t="s">
        <v>239</v>
      </c>
      <c r="D120" s="38">
        <v>1.0</v>
      </c>
      <c r="E120" s="107"/>
      <c r="F120" s="38"/>
    </row>
    <row r="121">
      <c r="A121" s="75" t="s">
        <v>182</v>
      </c>
      <c r="B121" s="108">
        <v>46361.0</v>
      </c>
      <c r="C121" s="77" t="s">
        <v>70</v>
      </c>
      <c r="D121" s="38">
        <v>26.0</v>
      </c>
      <c r="E121" s="107"/>
      <c r="F121" s="38"/>
    </row>
    <row r="122">
      <c r="A122" s="75" t="s">
        <v>401</v>
      </c>
      <c r="B122" s="108">
        <v>46361.0</v>
      </c>
      <c r="C122" s="77" t="s">
        <v>70</v>
      </c>
      <c r="D122" s="38">
        <v>18.0</v>
      </c>
      <c r="E122" s="107"/>
      <c r="F122" s="38"/>
    </row>
    <row r="123">
      <c r="A123" s="75" t="s">
        <v>474</v>
      </c>
      <c r="B123" s="108">
        <v>46361.0</v>
      </c>
      <c r="C123" s="77" t="s">
        <v>70</v>
      </c>
      <c r="D123" s="38">
        <v>1.0</v>
      </c>
      <c r="E123" s="107"/>
      <c r="F123" s="38"/>
    </row>
    <row r="124">
      <c r="A124" s="75" t="s">
        <v>130</v>
      </c>
      <c r="B124" s="108">
        <v>46361.0</v>
      </c>
      <c r="C124" s="77" t="s">
        <v>70</v>
      </c>
      <c r="D124" s="38">
        <v>2.0</v>
      </c>
      <c r="E124" s="107"/>
      <c r="F124" s="38"/>
    </row>
    <row r="125">
      <c r="A125" s="75" t="s">
        <v>460</v>
      </c>
      <c r="B125" s="108">
        <v>46361.0</v>
      </c>
      <c r="C125" s="77" t="s">
        <v>239</v>
      </c>
      <c r="D125" s="38">
        <v>1.0</v>
      </c>
      <c r="E125" s="107"/>
      <c r="F125" s="38"/>
    </row>
    <row r="126">
      <c r="A126" s="75" t="s">
        <v>461</v>
      </c>
      <c r="B126" s="108">
        <v>46361.0</v>
      </c>
      <c r="C126" s="77" t="s">
        <v>77</v>
      </c>
      <c r="D126" s="38">
        <v>2.0</v>
      </c>
      <c r="E126" s="107"/>
      <c r="F126" s="38"/>
    </row>
    <row r="127">
      <c r="A127" s="75" t="s">
        <v>483</v>
      </c>
      <c r="B127" s="108">
        <v>46361.0</v>
      </c>
      <c r="C127" s="77" t="s">
        <v>239</v>
      </c>
      <c r="D127" s="38">
        <v>1.0</v>
      </c>
      <c r="E127" s="107"/>
      <c r="F127" s="38"/>
    </row>
    <row r="128">
      <c r="A128" s="75" t="s">
        <v>476</v>
      </c>
      <c r="B128" s="108">
        <v>46361.0</v>
      </c>
      <c r="C128" s="77" t="s">
        <v>70</v>
      </c>
      <c r="D128" s="38">
        <v>15.0</v>
      </c>
      <c r="E128" s="107"/>
      <c r="F128" s="38"/>
    </row>
    <row r="129">
      <c r="A129" s="75" t="s">
        <v>154</v>
      </c>
      <c r="B129" s="38" t="s">
        <v>484</v>
      </c>
      <c r="C129" s="77" t="s">
        <v>70</v>
      </c>
      <c r="D129" s="38">
        <v>3.5</v>
      </c>
      <c r="E129" s="107"/>
      <c r="F129" s="38"/>
    </row>
    <row r="130">
      <c r="A130" s="75" t="s">
        <v>199</v>
      </c>
      <c r="B130" s="38" t="s">
        <v>484</v>
      </c>
      <c r="C130" s="77" t="s">
        <v>70</v>
      </c>
      <c r="D130" s="38">
        <v>1.0</v>
      </c>
      <c r="E130" s="107"/>
      <c r="F130" s="38"/>
    </row>
    <row r="131">
      <c r="A131" s="75" t="s">
        <v>341</v>
      </c>
      <c r="B131" s="38" t="s">
        <v>484</v>
      </c>
      <c r="C131" s="77" t="s">
        <v>70</v>
      </c>
      <c r="D131" s="38">
        <v>0.25</v>
      </c>
      <c r="E131" s="107"/>
      <c r="F131" s="38"/>
    </row>
    <row r="132">
      <c r="A132" s="75" t="s">
        <v>178</v>
      </c>
      <c r="B132" s="38" t="s">
        <v>484</v>
      </c>
      <c r="C132" s="77" t="s">
        <v>70</v>
      </c>
      <c r="D132" s="38">
        <v>3.0</v>
      </c>
      <c r="E132" s="107"/>
      <c r="F132" s="38"/>
    </row>
    <row r="133">
      <c r="A133" s="75" t="s">
        <v>133</v>
      </c>
      <c r="B133" s="38" t="s">
        <v>484</v>
      </c>
      <c r="C133" s="77" t="s">
        <v>70</v>
      </c>
      <c r="D133" s="38">
        <v>45.0</v>
      </c>
      <c r="E133" s="107"/>
      <c r="F133" s="38"/>
    </row>
    <row r="134">
      <c r="A134" s="75" t="s">
        <v>179</v>
      </c>
      <c r="B134" s="38" t="s">
        <v>484</v>
      </c>
      <c r="C134" s="77" t="s">
        <v>70</v>
      </c>
      <c r="D134" s="38">
        <v>6.0</v>
      </c>
      <c r="E134" s="107"/>
      <c r="F134" s="38"/>
    </row>
    <row r="135">
      <c r="A135" s="75" t="s">
        <v>474</v>
      </c>
      <c r="B135" s="38" t="s">
        <v>484</v>
      </c>
      <c r="C135" s="77" t="s">
        <v>70</v>
      </c>
      <c r="D135" s="38">
        <v>4.0</v>
      </c>
      <c r="E135" s="107"/>
      <c r="F135" s="38"/>
    </row>
    <row r="136">
      <c r="A136" s="75" t="s">
        <v>461</v>
      </c>
      <c r="B136" s="38" t="s">
        <v>484</v>
      </c>
      <c r="C136" s="77" t="s">
        <v>77</v>
      </c>
      <c r="D136" s="38">
        <v>1.0</v>
      </c>
      <c r="E136" s="107"/>
      <c r="F136" s="38"/>
    </row>
    <row r="137">
      <c r="A137" s="75" t="s">
        <v>140</v>
      </c>
      <c r="B137" s="38" t="s">
        <v>484</v>
      </c>
      <c r="C137" s="77" t="s">
        <v>70</v>
      </c>
      <c r="D137" s="38">
        <v>0.5</v>
      </c>
      <c r="E137" s="107"/>
      <c r="F137" s="38"/>
    </row>
    <row r="138">
      <c r="A138" s="75" t="s">
        <v>485</v>
      </c>
      <c r="B138" s="38" t="s">
        <v>484</v>
      </c>
      <c r="C138" s="77" t="s">
        <v>70</v>
      </c>
      <c r="D138" s="38">
        <v>1.0</v>
      </c>
      <c r="E138" s="107"/>
      <c r="F138" s="38"/>
    </row>
    <row r="139">
      <c r="A139" s="75" t="s">
        <v>186</v>
      </c>
      <c r="B139" s="38" t="s">
        <v>484</v>
      </c>
      <c r="C139" s="77" t="s">
        <v>70</v>
      </c>
      <c r="D139" s="38">
        <v>1.0</v>
      </c>
      <c r="E139" s="107"/>
      <c r="F139" s="38"/>
    </row>
    <row r="140">
      <c r="A140" s="75" t="s">
        <v>161</v>
      </c>
      <c r="B140" s="38" t="s">
        <v>484</v>
      </c>
      <c r="C140" s="77" t="s">
        <v>70</v>
      </c>
      <c r="D140" s="38">
        <v>1.0</v>
      </c>
      <c r="E140" s="107"/>
      <c r="F140" s="38"/>
    </row>
    <row r="141">
      <c r="A141" s="75" t="s">
        <v>124</v>
      </c>
      <c r="B141" s="38" t="s">
        <v>484</v>
      </c>
      <c r="C141" s="77" t="s">
        <v>239</v>
      </c>
      <c r="D141" s="38">
        <v>2.0</v>
      </c>
      <c r="E141" s="107"/>
      <c r="F141" s="38"/>
    </row>
    <row r="142">
      <c r="A142" s="75" t="s">
        <v>199</v>
      </c>
      <c r="B142" s="38" t="s">
        <v>484</v>
      </c>
      <c r="C142" s="77" t="s">
        <v>70</v>
      </c>
      <c r="D142" s="38">
        <v>1.0</v>
      </c>
      <c r="E142" s="107"/>
      <c r="F142" s="38"/>
    </row>
    <row r="143">
      <c r="A143" s="75" t="s">
        <v>172</v>
      </c>
      <c r="B143" s="38" t="s">
        <v>484</v>
      </c>
      <c r="C143" s="77" t="s">
        <v>239</v>
      </c>
      <c r="D143" s="38">
        <v>2.0</v>
      </c>
      <c r="E143" s="107"/>
      <c r="F143" s="38"/>
    </row>
    <row r="144">
      <c r="A144" s="75" t="s">
        <v>110</v>
      </c>
      <c r="B144" s="38" t="s">
        <v>484</v>
      </c>
      <c r="C144" s="77" t="s">
        <v>70</v>
      </c>
      <c r="D144" s="38">
        <v>1.0</v>
      </c>
      <c r="E144" s="107"/>
      <c r="F144" s="38"/>
    </row>
    <row r="145">
      <c r="A145" s="75" t="s">
        <v>119</v>
      </c>
      <c r="B145" s="38" t="s">
        <v>484</v>
      </c>
      <c r="C145" s="77" t="s">
        <v>70</v>
      </c>
      <c r="D145" s="38">
        <v>2.0</v>
      </c>
      <c r="E145" s="107"/>
      <c r="F145" s="38"/>
    </row>
    <row r="146">
      <c r="A146" s="75" t="s">
        <v>142</v>
      </c>
      <c r="B146" s="38" t="s">
        <v>484</v>
      </c>
      <c r="C146" s="77" t="s">
        <v>70</v>
      </c>
      <c r="D146" s="38">
        <v>4.0</v>
      </c>
      <c r="E146" s="107"/>
      <c r="F146" s="38"/>
    </row>
    <row r="147">
      <c r="A147" s="75" t="s">
        <v>412</v>
      </c>
      <c r="B147" s="38" t="s">
        <v>484</v>
      </c>
      <c r="C147" s="77" t="s">
        <v>70</v>
      </c>
      <c r="D147" s="38">
        <v>3.0</v>
      </c>
      <c r="E147" s="107"/>
      <c r="F147" s="38"/>
    </row>
    <row r="148">
      <c r="A148" s="75" t="s">
        <v>162</v>
      </c>
      <c r="B148" s="38" t="s">
        <v>486</v>
      </c>
      <c r="C148" s="77" t="s">
        <v>70</v>
      </c>
      <c r="D148" s="38">
        <v>0.5</v>
      </c>
      <c r="E148" s="107"/>
      <c r="F148" s="38"/>
    </row>
    <row r="149">
      <c r="A149" s="75" t="s">
        <v>401</v>
      </c>
      <c r="B149" s="38" t="s">
        <v>486</v>
      </c>
      <c r="C149" s="77" t="s">
        <v>70</v>
      </c>
      <c r="D149" s="38">
        <v>56.0</v>
      </c>
      <c r="E149" s="107"/>
      <c r="F149" s="38"/>
    </row>
    <row r="150">
      <c r="A150" s="75" t="s">
        <v>118</v>
      </c>
      <c r="B150" s="38" t="s">
        <v>486</v>
      </c>
      <c r="C150" s="77" t="s">
        <v>70</v>
      </c>
      <c r="D150" s="38">
        <v>2.0</v>
      </c>
      <c r="E150" s="107"/>
      <c r="F150" s="38"/>
    </row>
    <row r="151">
      <c r="A151" s="75" t="s">
        <v>416</v>
      </c>
      <c r="B151" s="38" t="s">
        <v>486</v>
      </c>
      <c r="C151" s="77" t="s">
        <v>70</v>
      </c>
      <c r="D151" s="38">
        <v>3.0</v>
      </c>
      <c r="E151" s="107"/>
      <c r="F151" s="38"/>
    </row>
    <row r="152">
      <c r="A152" s="75" t="s">
        <v>474</v>
      </c>
      <c r="B152" s="38" t="s">
        <v>486</v>
      </c>
      <c r="C152" s="77" t="s">
        <v>70</v>
      </c>
      <c r="D152" s="38">
        <v>2.0</v>
      </c>
      <c r="E152" s="107"/>
      <c r="F152" s="38"/>
    </row>
    <row r="153">
      <c r="A153" s="75" t="s">
        <v>130</v>
      </c>
      <c r="B153" s="38" t="s">
        <v>486</v>
      </c>
      <c r="C153" s="77" t="s">
        <v>70</v>
      </c>
      <c r="D153" s="38">
        <v>6.0</v>
      </c>
      <c r="E153" s="107"/>
      <c r="F153" s="38"/>
    </row>
    <row r="154">
      <c r="A154" s="75" t="s">
        <v>444</v>
      </c>
      <c r="B154" s="38" t="s">
        <v>486</v>
      </c>
      <c r="C154" s="77" t="s">
        <v>70</v>
      </c>
      <c r="D154" s="38">
        <v>2.0</v>
      </c>
      <c r="E154" s="107"/>
      <c r="F154" s="38"/>
    </row>
    <row r="155">
      <c r="A155" s="75" t="s">
        <v>273</v>
      </c>
      <c r="B155" s="38" t="s">
        <v>486</v>
      </c>
      <c r="C155" s="77" t="s">
        <v>70</v>
      </c>
      <c r="D155" s="38">
        <v>1.0</v>
      </c>
      <c r="E155" s="107"/>
      <c r="F155" s="38"/>
    </row>
    <row r="156">
      <c r="A156" s="75" t="s">
        <v>323</v>
      </c>
      <c r="B156" s="38" t="s">
        <v>486</v>
      </c>
      <c r="C156" s="77" t="s">
        <v>70</v>
      </c>
      <c r="D156" s="38">
        <v>1.0</v>
      </c>
      <c r="E156" s="107"/>
      <c r="F156" s="38"/>
    </row>
    <row r="157">
      <c r="A157" s="75" t="s">
        <v>161</v>
      </c>
      <c r="B157" s="38" t="s">
        <v>486</v>
      </c>
      <c r="C157" s="77" t="s">
        <v>70</v>
      </c>
      <c r="D157" s="38">
        <v>2.0</v>
      </c>
      <c r="E157" s="107"/>
      <c r="F157" s="38"/>
    </row>
    <row r="158">
      <c r="A158" s="75" t="s">
        <v>154</v>
      </c>
      <c r="B158" s="38" t="s">
        <v>486</v>
      </c>
      <c r="C158" s="77" t="s">
        <v>70</v>
      </c>
      <c r="D158" s="38">
        <v>2.5</v>
      </c>
      <c r="E158" s="107"/>
      <c r="F158" s="38"/>
    </row>
    <row r="159">
      <c r="A159" s="75" t="s">
        <v>196</v>
      </c>
      <c r="B159" s="38" t="s">
        <v>486</v>
      </c>
      <c r="C159" s="77" t="s">
        <v>239</v>
      </c>
      <c r="D159" s="38">
        <v>2.0</v>
      </c>
      <c r="E159" s="107"/>
      <c r="F159" s="38"/>
    </row>
    <row r="160">
      <c r="A160" s="75" t="s">
        <v>172</v>
      </c>
      <c r="B160" s="38" t="s">
        <v>486</v>
      </c>
      <c r="C160" s="77" t="s">
        <v>239</v>
      </c>
      <c r="D160" s="38">
        <v>2.0</v>
      </c>
      <c r="E160" s="107"/>
      <c r="F160" s="38"/>
    </row>
    <row r="161">
      <c r="A161" s="75" t="s">
        <v>110</v>
      </c>
      <c r="B161" s="38" t="s">
        <v>486</v>
      </c>
      <c r="C161" s="77" t="s">
        <v>70</v>
      </c>
      <c r="D161" s="38">
        <v>3.0</v>
      </c>
      <c r="E161" s="107"/>
      <c r="F161" s="38"/>
    </row>
    <row r="162">
      <c r="A162" s="75" t="s">
        <v>119</v>
      </c>
      <c r="B162" s="38" t="s">
        <v>486</v>
      </c>
      <c r="C162" s="77" t="s">
        <v>70</v>
      </c>
      <c r="D162" s="38">
        <v>0.5</v>
      </c>
      <c r="E162" s="107"/>
      <c r="F162" s="38"/>
    </row>
    <row r="163">
      <c r="A163" s="75" t="s">
        <v>125</v>
      </c>
      <c r="B163" s="38" t="s">
        <v>486</v>
      </c>
      <c r="C163" s="77" t="s">
        <v>239</v>
      </c>
      <c r="D163" s="38">
        <v>2.0</v>
      </c>
      <c r="E163" s="107"/>
      <c r="F163" s="38"/>
    </row>
    <row r="164">
      <c r="A164" s="75" t="s">
        <v>142</v>
      </c>
      <c r="B164" s="38" t="s">
        <v>486</v>
      </c>
      <c r="C164" s="77" t="s">
        <v>70</v>
      </c>
      <c r="D164" s="38">
        <v>15.0</v>
      </c>
      <c r="E164" s="107"/>
      <c r="F164" s="38"/>
    </row>
    <row r="165">
      <c r="A165" s="75" t="s">
        <v>201</v>
      </c>
      <c r="B165" s="38" t="s">
        <v>486</v>
      </c>
      <c r="C165" s="77" t="s">
        <v>70</v>
      </c>
      <c r="D165" s="38">
        <v>2.0</v>
      </c>
      <c r="E165" s="107"/>
      <c r="F165" s="38"/>
    </row>
    <row r="166">
      <c r="A166" s="75" t="s">
        <v>377</v>
      </c>
      <c r="B166" s="38" t="s">
        <v>486</v>
      </c>
      <c r="C166" s="77" t="s">
        <v>70</v>
      </c>
      <c r="D166" s="38">
        <v>2.0</v>
      </c>
      <c r="E166" s="107"/>
      <c r="F166" s="38"/>
    </row>
    <row r="167">
      <c r="A167" s="75" t="s">
        <v>163</v>
      </c>
      <c r="B167" s="38" t="s">
        <v>487</v>
      </c>
      <c r="C167" s="77" t="s">
        <v>70</v>
      </c>
      <c r="D167" s="38">
        <v>1.0</v>
      </c>
      <c r="E167" s="107"/>
      <c r="F167" s="38"/>
    </row>
    <row r="168">
      <c r="A168" s="75" t="s">
        <v>178</v>
      </c>
      <c r="B168" s="38" t="s">
        <v>487</v>
      </c>
      <c r="C168" s="77" t="s">
        <v>70</v>
      </c>
      <c r="D168" s="38">
        <v>4.0</v>
      </c>
      <c r="E168" s="107"/>
      <c r="F168" s="38"/>
    </row>
    <row r="169">
      <c r="A169" s="75" t="s">
        <v>133</v>
      </c>
      <c r="B169" s="38" t="s">
        <v>487</v>
      </c>
      <c r="C169" s="77" t="s">
        <v>70</v>
      </c>
      <c r="D169" s="38">
        <v>47.0</v>
      </c>
      <c r="E169" s="107"/>
      <c r="F169" s="38"/>
    </row>
    <row r="170">
      <c r="A170" s="75" t="s">
        <v>118</v>
      </c>
      <c r="B170" s="38" t="s">
        <v>487</v>
      </c>
      <c r="C170" s="77" t="s">
        <v>70</v>
      </c>
      <c r="D170" s="38">
        <v>1.0</v>
      </c>
      <c r="E170" s="107"/>
      <c r="F170" s="38"/>
    </row>
    <row r="171">
      <c r="A171" s="75" t="s">
        <v>412</v>
      </c>
      <c r="B171" s="38" t="s">
        <v>487</v>
      </c>
      <c r="C171" s="77" t="s">
        <v>70</v>
      </c>
      <c r="D171" s="38">
        <v>3.0</v>
      </c>
      <c r="E171" s="107"/>
      <c r="F171" s="38"/>
    </row>
    <row r="172">
      <c r="A172" s="75" t="s">
        <v>420</v>
      </c>
      <c r="B172" s="38" t="s">
        <v>487</v>
      </c>
      <c r="C172" s="77" t="s">
        <v>70</v>
      </c>
      <c r="D172" s="38">
        <v>0.25</v>
      </c>
      <c r="E172" s="107"/>
      <c r="F172" s="38"/>
    </row>
    <row r="173">
      <c r="A173" s="75" t="s">
        <v>474</v>
      </c>
      <c r="B173" s="38" t="s">
        <v>487</v>
      </c>
      <c r="C173" s="77" t="s">
        <v>70</v>
      </c>
      <c r="D173" s="38">
        <v>2.0</v>
      </c>
      <c r="E173" s="107"/>
      <c r="F173" s="38"/>
    </row>
    <row r="174">
      <c r="A174" s="75" t="s">
        <v>130</v>
      </c>
      <c r="B174" s="38" t="s">
        <v>487</v>
      </c>
      <c r="C174" s="77" t="s">
        <v>70</v>
      </c>
      <c r="D174" s="38">
        <v>2.0</v>
      </c>
      <c r="E174" s="107"/>
      <c r="F174" s="38"/>
    </row>
    <row r="175">
      <c r="A175" s="75" t="s">
        <v>444</v>
      </c>
      <c r="B175" s="38" t="s">
        <v>487</v>
      </c>
      <c r="C175" s="77" t="s">
        <v>239</v>
      </c>
      <c r="D175" s="38">
        <v>2.0</v>
      </c>
      <c r="E175" s="107"/>
      <c r="F175" s="38"/>
    </row>
    <row r="176">
      <c r="A176" s="75" t="s">
        <v>114</v>
      </c>
      <c r="B176" s="38" t="s">
        <v>487</v>
      </c>
      <c r="C176" s="77" t="s">
        <v>303</v>
      </c>
      <c r="D176" s="38">
        <v>1.0</v>
      </c>
      <c r="E176" s="107"/>
      <c r="F176" s="38"/>
    </row>
    <row r="177">
      <c r="A177" s="75" t="s">
        <v>391</v>
      </c>
      <c r="B177" s="38" t="s">
        <v>487</v>
      </c>
      <c r="C177" s="77" t="s">
        <v>70</v>
      </c>
      <c r="D177" s="38">
        <v>3.0</v>
      </c>
      <c r="E177" s="107"/>
      <c r="F177" s="38"/>
    </row>
    <row r="178">
      <c r="A178" s="75" t="s">
        <v>197</v>
      </c>
      <c r="B178" s="38" t="s">
        <v>487</v>
      </c>
      <c r="C178" s="77" t="s">
        <v>70</v>
      </c>
      <c r="D178" s="38">
        <v>0.5</v>
      </c>
      <c r="E178" s="107"/>
      <c r="F178" s="38"/>
    </row>
    <row r="179">
      <c r="A179" s="75" t="s">
        <v>147</v>
      </c>
      <c r="B179" s="38" t="s">
        <v>487</v>
      </c>
      <c r="C179" s="77" t="s">
        <v>70</v>
      </c>
      <c r="D179" s="38">
        <v>10.0</v>
      </c>
      <c r="E179" s="107"/>
      <c r="F179" s="38"/>
    </row>
    <row r="180">
      <c r="A180" s="75" t="s">
        <v>161</v>
      </c>
      <c r="B180" s="38" t="s">
        <v>487</v>
      </c>
      <c r="C180" s="77" t="s">
        <v>70</v>
      </c>
      <c r="D180" s="38">
        <v>1.0</v>
      </c>
      <c r="E180" s="107"/>
      <c r="F180" s="38"/>
    </row>
    <row r="181">
      <c r="A181" s="75" t="s">
        <v>154</v>
      </c>
      <c r="B181" s="38" t="s">
        <v>487</v>
      </c>
      <c r="C181" s="77" t="s">
        <v>70</v>
      </c>
      <c r="D181" s="38">
        <v>11.5</v>
      </c>
      <c r="E181" s="107"/>
      <c r="F181" s="38"/>
    </row>
    <row r="182">
      <c r="A182" s="75" t="s">
        <v>124</v>
      </c>
      <c r="B182" s="38" t="s">
        <v>487</v>
      </c>
      <c r="C182" s="77" t="s">
        <v>239</v>
      </c>
      <c r="D182" s="38">
        <v>2.0</v>
      </c>
      <c r="E182" s="107"/>
      <c r="F182" s="38"/>
    </row>
    <row r="183">
      <c r="A183" s="75" t="s">
        <v>132</v>
      </c>
      <c r="B183" s="38" t="s">
        <v>487</v>
      </c>
      <c r="C183" s="77" t="s">
        <v>70</v>
      </c>
      <c r="D183" s="38">
        <v>2.0</v>
      </c>
      <c r="E183" s="107"/>
      <c r="F183" s="38"/>
    </row>
    <row r="184">
      <c r="A184" s="75" t="s">
        <v>172</v>
      </c>
      <c r="B184" s="38" t="s">
        <v>487</v>
      </c>
      <c r="C184" s="77" t="s">
        <v>239</v>
      </c>
      <c r="D184" s="38">
        <v>4.0</v>
      </c>
      <c r="E184" s="107"/>
      <c r="F184" s="38"/>
    </row>
    <row r="185">
      <c r="A185" s="75" t="s">
        <v>110</v>
      </c>
      <c r="B185" s="38" t="s">
        <v>487</v>
      </c>
      <c r="C185" s="77" t="s">
        <v>70</v>
      </c>
      <c r="D185" s="38">
        <v>1.25</v>
      </c>
      <c r="E185" s="107"/>
      <c r="F185" s="38"/>
    </row>
    <row r="186">
      <c r="A186" s="75" t="s">
        <v>460</v>
      </c>
      <c r="B186" s="38" t="s">
        <v>487</v>
      </c>
      <c r="C186" s="77" t="s">
        <v>239</v>
      </c>
      <c r="D186" s="38">
        <v>2.0</v>
      </c>
      <c r="E186" s="107"/>
      <c r="F186" s="38"/>
    </row>
    <row r="187">
      <c r="A187" s="75" t="s">
        <v>461</v>
      </c>
      <c r="B187" s="38" t="s">
        <v>487</v>
      </c>
      <c r="C187" s="77" t="s">
        <v>239</v>
      </c>
      <c r="D187" s="38">
        <v>3.0</v>
      </c>
      <c r="E187" s="107"/>
      <c r="F187" s="38"/>
    </row>
    <row r="188">
      <c r="A188" s="75" t="s">
        <v>483</v>
      </c>
      <c r="B188" s="38" t="s">
        <v>487</v>
      </c>
      <c r="C188" s="77" t="s">
        <v>239</v>
      </c>
      <c r="D188" s="38">
        <v>1.0</v>
      </c>
      <c r="E188" s="107"/>
      <c r="F188" s="38"/>
    </row>
    <row r="189">
      <c r="A189" s="75" t="s">
        <v>162</v>
      </c>
      <c r="B189" s="38" t="s">
        <v>488</v>
      </c>
      <c r="C189" s="77" t="s">
        <v>70</v>
      </c>
      <c r="D189" s="38">
        <v>0.5</v>
      </c>
      <c r="E189" s="107"/>
      <c r="F189" s="38"/>
    </row>
    <row r="190">
      <c r="A190" s="75" t="s">
        <v>163</v>
      </c>
      <c r="B190" s="38" t="s">
        <v>488</v>
      </c>
      <c r="C190" s="77" t="s">
        <v>70</v>
      </c>
      <c r="D190" s="38">
        <v>2.0</v>
      </c>
      <c r="E190" s="107"/>
      <c r="F190" s="38"/>
    </row>
    <row r="191">
      <c r="A191" s="75" t="s">
        <v>133</v>
      </c>
      <c r="B191" s="38" t="s">
        <v>488</v>
      </c>
      <c r="C191" s="77" t="s">
        <v>70</v>
      </c>
      <c r="D191" s="38">
        <v>28.0</v>
      </c>
      <c r="E191" s="107"/>
      <c r="F191" s="38"/>
    </row>
    <row r="192">
      <c r="A192" s="75" t="s">
        <v>412</v>
      </c>
      <c r="B192" s="38" t="s">
        <v>488</v>
      </c>
      <c r="C192" s="77" t="s">
        <v>70</v>
      </c>
      <c r="D192" s="38">
        <v>5.0</v>
      </c>
      <c r="E192" s="107"/>
      <c r="F192" s="38"/>
    </row>
    <row r="193">
      <c r="A193" s="75" t="s">
        <v>416</v>
      </c>
      <c r="B193" s="38" t="s">
        <v>488</v>
      </c>
      <c r="C193" s="77" t="s">
        <v>70</v>
      </c>
      <c r="D193" s="38">
        <v>1.0</v>
      </c>
      <c r="E193" s="107"/>
      <c r="F193" s="38"/>
    </row>
    <row r="194">
      <c r="A194" s="75" t="s">
        <v>191</v>
      </c>
      <c r="B194" s="38" t="s">
        <v>488</v>
      </c>
      <c r="C194" s="77" t="s">
        <v>239</v>
      </c>
      <c r="D194" s="38">
        <v>1.0</v>
      </c>
      <c r="E194" s="107"/>
      <c r="F194" s="38"/>
    </row>
    <row r="195">
      <c r="A195" s="75" t="s">
        <v>474</v>
      </c>
      <c r="B195" s="38" t="s">
        <v>488</v>
      </c>
      <c r="C195" s="77" t="s">
        <v>70</v>
      </c>
      <c r="D195" s="38">
        <v>3.0</v>
      </c>
      <c r="E195" s="107"/>
      <c r="F195" s="38"/>
    </row>
    <row r="196">
      <c r="A196" s="75" t="s">
        <v>152</v>
      </c>
      <c r="B196" s="38" t="s">
        <v>488</v>
      </c>
      <c r="C196" s="77" t="s">
        <v>70</v>
      </c>
      <c r="D196" s="38">
        <v>2.0</v>
      </c>
      <c r="E196" s="107"/>
      <c r="F196" s="38"/>
    </row>
    <row r="197">
      <c r="A197" s="75" t="s">
        <v>114</v>
      </c>
      <c r="B197" s="38" t="s">
        <v>488</v>
      </c>
      <c r="C197" s="77" t="s">
        <v>303</v>
      </c>
      <c r="D197" s="38">
        <v>1.0</v>
      </c>
      <c r="E197" s="107"/>
      <c r="F197" s="38"/>
    </row>
    <row r="198">
      <c r="A198" s="75" t="s">
        <v>172</v>
      </c>
      <c r="B198" s="38" t="s">
        <v>488</v>
      </c>
      <c r="C198" s="77" t="s">
        <v>239</v>
      </c>
      <c r="D198" s="38">
        <v>2.0</v>
      </c>
      <c r="E198" s="107"/>
      <c r="F198" s="38"/>
    </row>
    <row r="199">
      <c r="A199" s="75" t="s">
        <v>121</v>
      </c>
      <c r="B199" s="38" t="s">
        <v>488</v>
      </c>
      <c r="C199" s="77" t="s">
        <v>239</v>
      </c>
      <c r="D199" s="38">
        <v>6.0</v>
      </c>
      <c r="E199" s="107"/>
      <c r="F199" s="38"/>
    </row>
    <row r="200">
      <c r="A200" s="75" t="s">
        <v>161</v>
      </c>
      <c r="B200" s="38" t="s">
        <v>488</v>
      </c>
      <c r="C200" s="77" t="s">
        <v>239</v>
      </c>
      <c r="D200" s="38">
        <v>1.0</v>
      </c>
      <c r="E200" s="107"/>
      <c r="F200" s="38"/>
    </row>
    <row r="201">
      <c r="A201" s="75" t="s">
        <v>154</v>
      </c>
      <c r="B201" s="38" t="s">
        <v>488</v>
      </c>
      <c r="C201" s="77" t="s">
        <v>70</v>
      </c>
      <c r="D201" s="38">
        <v>5.2</v>
      </c>
      <c r="E201" s="107"/>
      <c r="F201" s="38"/>
    </row>
    <row r="202">
      <c r="A202" s="75" t="s">
        <v>196</v>
      </c>
      <c r="B202" s="38" t="s">
        <v>488</v>
      </c>
      <c r="C202" s="77" t="s">
        <v>239</v>
      </c>
      <c r="D202" s="38">
        <v>1.0</v>
      </c>
      <c r="E202" s="107"/>
      <c r="F202" s="38"/>
    </row>
    <row r="203">
      <c r="A203" s="75" t="s">
        <v>172</v>
      </c>
      <c r="B203" s="38" t="s">
        <v>488</v>
      </c>
      <c r="C203" s="77" t="s">
        <v>239</v>
      </c>
      <c r="D203" s="38">
        <v>2.0</v>
      </c>
      <c r="E203" s="107"/>
      <c r="F203" s="38"/>
    </row>
    <row r="204">
      <c r="A204" s="75" t="s">
        <v>110</v>
      </c>
      <c r="B204" s="38" t="s">
        <v>488</v>
      </c>
      <c r="C204" s="77" t="s">
        <v>70</v>
      </c>
      <c r="D204" s="38">
        <v>0.5</v>
      </c>
      <c r="E204" s="107"/>
      <c r="F204" s="38"/>
    </row>
    <row r="205">
      <c r="A205" s="75" t="s">
        <v>144</v>
      </c>
      <c r="B205" s="38" t="s">
        <v>488</v>
      </c>
      <c r="C205" s="77" t="s">
        <v>239</v>
      </c>
      <c r="D205" s="38">
        <v>1.0</v>
      </c>
      <c r="E205" s="107"/>
      <c r="F205" s="38"/>
    </row>
    <row r="206">
      <c r="A206" s="75" t="s">
        <v>142</v>
      </c>
      <c r="B206" s="38" t="s">
        <v>488</v>
      </c>
      <c r="C206" s="77" t="s">
        <v>70</v>
      </c>
      <c r="D206" s="38">
        <v>15.0</v>
      </c>
      <c r="E206" s="107"/>
      <c r="F206" s="38"/>
    </row>
    <row r="207">
      <c r="A207" s="75" t="s">
        <v>199</v>
      </c>
      <c r="B207" s="38" t="s">
        <v>488</v>
      </c>
      <c r="C207" s="77" t="s">
        <v>239</v>
      </c>
      <c r="D207" s="38">
        <v>1.0</v>
      </c>
      <c r="E207" s="107"/>
      <c r="F207" s="38"/>
    </row>
    <row r="208">
      <c r="A208" s="75" t="s">
        <v>460</v>
      </c>
      <c r="B208" s="38" t="s">
        <v>488</v>
      </c>
      <c r="C208" s="77" t="s">
        <v>239</v>
      </c>
      <c r="D208" s="38">
        <v>3.0</v>
      </c>
      <c r="E208" s="107"/>
      <c r="F208" s="38"/>
    </row>
    <row r="209">
      <c r="A209" s="75" t="s">
        <v>201</v>
      </c>
      <c r="B209" s="38" t="s">
        <v>488</v>
      </c>
      <c r="C209" s="77" t="s">
        <v>70</v>
      </c>
      <c r="D209" s="38">
        <v>3.0</v>
      </c>
      <c r="E209" s="107"/>
      <c r="F209" s="38"/>
    </row>
    <row r="210">
      <c r="A210" s="75" t="s">
        <v>372</v>
      </c>
      <c r="B210" s="38" t="s">
        <v>489</v>
      </c>
      <c r="C210" s="77" t="s">
        <v>70</v>
      </c>
      <c r="D210" s="38">
        <v>2.0</v>
      </c>
      <c r="E210" s="107"/>
      <c r="F210" s="38"/>
    </row>
    <row r="211">
      <c r="A211" s="75" t="s">
        <v>163</v>
      </c>
      <c r="B211" s="38" t="s">
        <v>489</v>
      </c>
      <c r="C211" s="77" t="s">
        <v>70</v>
      </c>
      <c r="D211" s="38">
        <v>2.0</v>
      </c>
      <c r="E211" s="107"/>
      <c r="F211" s="38"/>
    </row>
    <row r="212">
      <c r="A212" s="75" t="s">
        <v>133</v>
      </c>
      <c r="B212" s="38" t="s">
        <v>489</v>
      </c>
      <c r="C212" s="77" t="s">
        <v>70</v>
      </c>
      <c r="D212" s="38">
        <v>48.0</v>
      </c>
      <c r="E212" s="107"/>
      <c r="F212" s="38"/>
    </row>
    <row r="213">
      <c r="A213" s="75" t="s">
        <v>152</v>
      </c>
      <c r="B213" s="38" t="s">
        <v>489</v>
      </c>
      <c r="C213" s="77" t="s">
        <v>70</v>
      </c>
      <c r="D213" s="38">
        <v>3.0</v>
      </c>
      <c r="E213" s="107"/>
      <c r="F213" s="38"/>
    </row>
    <row r="214">
      <c r="A214" s="75" t="s">
        <v>474</v>
      </c>
      <c r="B214" s="38" t="s">
        <v>489</v>
      </c>
      <c r="C214" s="77" t="s">
        <v>70</v>
      </c>
      <c r="D214" s="38">
        <v>2.0</v>
      </c>
      <c r="E214" s="107"/>
      <c r="F214" s="38"/>
    </row>
    <row r="215">
      <c r="A215" s="75" t="s">
        <v>447</v>
      </c>
      <c r="B215" s="38" t="s">
        <v>489</v>
      </c>
      <c r="C215" s="77" t="s">
        <v>70</v>
      </c>
      <c r="D215" s="38">
        <v>6.0</v>
      </c>
      <c r="E215" s="107"/>
      <c r="F215" s="38"/>
    </row>
    <row r="216">
      <c r="A216" s="75" t="s">
        <v>460</v>
      </c>
      <c r="B216" s="38" t="s">
        <v>489</v>
      </c>
      <c r="C216" s="77" t="s">
        <v>70</v>
      </c>
      <c r="D216" s="38">
        <v>1.0</v>
      </c>
      <c r="E216" s="107"/>
      <c r="F216" s="38"/>
    </row>
    <row r="217">
      <c r="A217" s="75" t="s">
        <v>323</v>
      </c>
      <c r="B217" s="38" t="s">
        <v>489</v>
      </c>
      <c r="C217" s="77" t="s">
        <v>239</v>
      </c>
      <c r="D217" s="38">
        <v>6.0</v>
      </c>
      <c r="E217" s="107"/>
      <c r="F217" s="38"/>
    </row>
    <row r="218">
      <c r="A218" s="75" t="s">
        <v>214</v>
      </c>
      <c r="B218" s="38" t="s">
        <v>489</v>
      </c>
      <c r="C218" s="77" t="s">
        <v>469</v>
      </c>
      <c r="D218" s="38">
        <v>100.0</v>
      </c>
      <c r="E218" s="107"/>
      <c r="F218" s="38"/>
    </row>
    <row r="219">
      <c r="A219" s="75" t="s">
        <v>147</v>
      </c>
      <c r="B219" s="38" t="s">
        <v>490</v>
      </c>
      <c r="C219" s="77" t="s">
        <v>70</v>
      </c>
      <c r="D219" s="38">
        <v>11.0</v>
      </c>
      <c r="E219" s="107"/>
      <c r="F219" s="38"/>
    </row>
    <row r="220">
      <c r="A220" s="75" t="s">
        <v>154</v>
      </c>
      <c r="B220" s="38" t="s">
        <v>490</v>
      </c>
      <c r="C220" s="77" t="s">
        <v>70</v>
      </c>
      <c r="D220" s="38">
        <v>5.0</v>
      </c>
      <c r="E220" s="107"/>
      <c r="F220" s="38"/>
    </row>
    <row r="221">
      <c r="A221" s="75" t="s">
        <v>124</v>
      </c>
      <c r="B221" s="38" t="s">
        <v>490</v>
      </c>
      <c r="C221" s="77" t="s">
        <v>239</v>
      </c>
      <c r="D221" s="38">
        <v>1.0</v>
      </c>
      <c r="E221" s="107"/>
      <c r="F221" s="38"/>
    </row>
    <row r="222">
      <c r="A222" s="75" t="s">
        <v>311</v>
      </c>
      <c r="B222" s="38" t="s">
        <v>490</v>
      </c>
      <c r="C222" s="77" t="s">
        <v>70</v>
      </c>
      <c r="D222" s="38">
        <v>0.5</v>
      </c>
      <c r="E222" s="107"/>
      <c r="F222" s="38"/>
    </row>
    <row r="223">
      <c r="A223" s="75" t="s">
        <v>341</v>
      </c>
      <c r="B223" s="38" t="s">
        <v>490</v>
      </c>
      <c r="C223" s="77" t="s">
        <v>70</v>
      </c>
      <c r="D223" s="38">
        <v>2.0</v>
      </c>
      <c r="E223" s="107"/>
      <c r="F223" s="38"/>
    </row>
    <row r="224">
      <c r="A224" s="75" t="s">
        <v>201</v>
      </c>
      <c r="B224" s="38" t="s">
        <v>490</v>
      </c>
      <c r="C224" s="77" t="s">
        <v>70</v>
      </c>
      <c r="D224" s="38">
        <v>2.0</v>
      </c>
      <c r="E224" s="107"/>
      <c r="F224" s="38"/>
    </row>
    <row r="225">
      <c r="A225" s="75" t="s">
        <v>161</v>
      </c>
      <c r="B225" s="38" t="s">
        <v>490</v>
      </c>
      <c r="C225" s="77" t="s">
        <v>70</v>
      </c>
      <c r="D225" s="38">
        <v>2.0</v>
      </c>
      <c r="E225" s="107"/>
      <c r="F225" s="38"/>
    </row>
    <row r="226">
      <c r="A226" s="75" t="s">
        <v>444</v>
      </c>
      <c r="B226" s="38" t="s">
        <v>490</v>
      </c>
      <c r="C226" s="77" t="s">
        <v>70</v>
      </c>
      <c r="D226" s="38">
        <v>2.0</v>
      </c>
      <c r="E226" s="107"/>
      <c r="F226" s="38"/>
    </row>
    <row r="227">
      <c r="A227" s="75" t="s">
        <v>114</v>
      </c>
      <c r="B227" s="38" t="s">
        <v>490</v>
      </c>
      <c r="C227" s="77" t="s">
        <v>303</v>
      </c>
      <c r="D227" s="38">
        <v>1.0</v>
      </c>
      <c r="E227" s="107"/>
      <c r="F227" s="38"/>
    </row>
    <row r="228">
      <c r="A228" s="75" t="s">
        <v>416</v>
      </c>
      <c r="B228" s="38" t="s">
        <v>490</v>
      </c>
      <c r="C228" s="77" t="s">
        <v>70</v>
      </c>
      <c r="D228" s="38">
        <v>1.5</v>
      </c>
      <c r="E228" s="107"/>
      <c r="F228" s="38"/>
    </row>
    <row r="229">
      <c r="A229" s="75" t="s">
        <v>118</v>
      </c>
      <c r="B229" s="38" t="s">
        <v>490</v>
      </c>
      <c r="C229" s="77" t="s">
        <v>70</v>
      </c>
      <c r="D229" s="38">
        <v>1.0</v>
      </c>
      <c r="E229" s="107"/>
      <c r="F229" s="38"/>
    </row>
    <row r="230">
      <c r="A230" s="75" t="s">
        <v>119</v>
      </c>
      <c r="B230" s="38" t="s">
        <v>490</v>
      </c>
      <c r="C230" s="77" t="s">
        <v>70</v>
      </c>
      <c r="D230" s="38">
        <v>0.5</v>
      </c>
      <c r="E230" s="107"/>
      <c r="F230" s="38"/>
    </row>
    <row r="231">
      <c r="A231" s="75" t="s">
        <v>172</v>
      </c>
      <c r="B231" s="38" t="s">
        <v>490</v>
      </c>
      <c r="C231" s="77" t="s">
        <v>239</v>
      </c>
      <c r="D231" s="38">
        <v>2.0</v>
      </c>
      <c r="E231" s="107"/>
      <c r="F231" s="38"/>
    </row>
    <row r="232">
      <c r="A232" s="75" t="s">
        <v>110</v>
      </c>
      <c r="B232" s="38" t="s">
        <v>490</v>
      </c>
      <c r="C232" s="77" t="s">
        <v>70</v>
      </c>
      <c r="D232" s="38">
        <v>1.0</v>
      </c>
      <c r="E232" s="107"/>
      <c r="F232" s="38"/>
    </row>
    <row r="233">
      <c r="A233" s="75" t="s">
        <v>140</v>
      </c>
      <c r="B233" s="38" t="s">
        <v>490</v>
      </c>
      <c r="C233" s="77" t="s">
        <v>70</v>
      </c>
      <c r="D233" s="38">
        <v>1.0</v>
      </c>
      <c r="E233" s="107"/>
      <c r="F233" s="38"/>
    </row>
    <row r="234">
      <c r="A234" s="75" t="s">
        <v>219</v>
      </c>
      <c r="B234" s="38" t="s">
        <v>491</v>
      </c>
      <c r="C234" s="77" t="s">
        <v>259</v>
      </c>
      <c r="D234" s="38">
        <v>210.0</v>
      </c>
      <c r="E234" s="107"/>
      <c r="F234" s="38"/>
    </row>
    <row r="235">
      <c r="A235" s="75" t="s">
        <v>154</v>
      </c>
      <c r="B235" s="38" t="s">
        <v>491</v>
      </c>
      <c r="C235" s="77" t="s">
        <v>70</v>
      </c>
      <c r="D235" s="38">
        <v>5.5</v>
      </c>
      <c r="E235" s="107"/>
      <c r="F235" s="38"/>
    </row>
    <row r="236">
      <c r="A236" s="75" t="s">
        <v>120</v>
      </c>
      <c r="B236" s="38" t="s">
        <v>491</v>
      </c>
      <c r="C236" s="77" t="s">
        <v>239</v>
      </c>
      <c r="D236" s="38">
        <v>4.0</v>
      </c>
      <c r="E236" s="107"/>
      <c r="F236" s="38"/>
    </row>
    <row r="237">
      <c r="A237" s="75" t="s">
        <v>476</v>
      </c>
      <c r="B237" s="38" t="s">
        <v>491</v>
      </c>
      <c r="C237" s="77" t="s">
        <v>70</v>
      </c>
      <c r="D237" s="38">
        <v>22.0</v>
      </c>
      <c r="E237" s="107"/>
      <c r="F237" s="38"/>
    </row>
    <row r="238">
      <c r="A238" s="75" t="s">
        <v>162</v>
      </c>
      <c r="B238" s="38" t="s">
        <v>491</v>
      </c>
      <c r="C238" s="77" t="s">
        <v>70</v>
      </c>
      <c r="D238" s="38">
        <v>0.5</v>
      </c>
      <c r="E238" s="107"/>
      <c r="F238" s="38"/>
    </row>
    <row r="239">
      <c r="A239" s="75" t="s">
        <v>110</v>
      </c>
      <c r="B239" s="38" t="s">
        <v>491</v>
      </c>
      <c r="C239" s="77" t="s">
        <v>70</v>
      </c>
      <c r="D239" s="38">
        <v>1.5</v>
      </c>
      <c r="E239" s="107"/>
      <c r="F239" s="38"/>
    </row>
    <row r="240">
      <c r="A240" s="75" t="s">
        <v>114</v>
      </c>
      <c r="B240" s="38" t="s">
        <v>491</v>
      </c>
      <c r="C240" s="77" t="s">
        <v>303</v>
      </c>
      <c r="D240" s="38">
        <v>1.0</v>
      </c>
      <c r="E240" s="107"/>
      <c r="F240" s="38"/>
    </row>
    <row r="241">
      <c r="A241" s="75" t="s">
        <v>119</v>
      </c>
      <c r="B241" s="38" t="s">
        <v>491</v>
      </c>
      <c r="C241" s="77" t="s">
        <v>70</v>
      </c>
      <c r="D241" s="38">
        <v>1.5</v>
      </c>
      <c r="E241" s="107"/>
      <c r="F241" s="38"/>
    </row>
    <row r="242">
      <c r="A242" s="75" t="s">
        <v>124</v>
      </c>
      <c r="B242" s="38" t="s">
        <v>491</v>
      </c>
      <c r="C242" s="77" t="s">
        <v>239</v>
      </c>
      <c r="D242" s="38">
        <v>1.0</v>
      </c>
      <c r="E242" s="107"/>
      <c r="F242" s="38"/>
    </row>
    <row r="243">
      <c r="A243" s="75" t="s">
        <v>161</v>
      </c>
      <c r="B243" s="38" t="s">
        <v>491</v>
      </c>
      <c r="C243" s="77" t="s">
        <v>70</v>
      </c>
      <c r="D243" s="38">
        <v>1.0</v>
      </c>
      <c r="E243" s="107"/>
      <c r="F243" s="38"/>
    </row>
    <row r="244">
      <c r="A244" s="75" t="s">
        <v>163</v>
      </c>
      <c r="B244" s="38" t="s">
        <v>491</v>
      </c>
      <c r="C244" s="77" t="s">
        <v>70</v>
      </c>
      <c r="D244" s="38">
        <v>3.0</v>
      </c>
      <c r="E244" s="107"/>
      <c r="F244" s="38"/>
    </row>
    <row r="245">
      <c r="A245" s="75" t="s">
        <v>474</v>
      </c>
      <c r="B245" s="38" t="s">
        <v>491</v>
      </c>
      <c r="C245" s="77" t="s">
        <v>70</v>
      </c>
      <c r="D245" s="38">
        <v>4.0</v>
      </c>
      <c r="E245" s="107"/>
      <c r="F245" s="38"/>
    </row>
    <row r="246">
      <c r="A246" s="75" t="s">
        <v>273</v>
      </c>
      <c r="B246" s="38" t="s">
        <v>491</v>
      </c>
      <c r="C246" s="77" t="s">
        <v>70</v>
      </c>
      <c r="D246" s="38">
        <v>0.25</v>
      </c>
      <c r="E246" s="107"/>
      <c r="F246" s="38"/>
    </row>
    <row r="247">
      <c r="A247" s="75" t="s">
        <v>460</v>
      </c>
      <c r="B247" s="38" t="s">
        <v>491</v>
      </c>
      <c r="C247" s="77" t="s">
        <v>70</v>
      </c>
      <c r="D247" s="38">
        <v>1.0</v>
      </c>
      <c r="E247" s="107"/>
      <c r="F247" s="38"/>
    </row>
    <row r="248">
      <c r="A248" s="75" t="s">
        <v>133</v>
      </c>
      <c r="B248" s="38" t="s">
        <v>491</v>
      </c>
      <c r="C248" s="77" t="s">
        <v>70</v>
      </c>
      <c r="D248" s="38">
        <v>26.0</v>
      </c>
      <c r="E248" s="107"/>
      <c r="F248" s="38"/>
    </row>
    <row r="249">
      <c r="A249" s="75" t="s">
        <v>154</v>
      </c>
      <c r="B249" s="38" t="s">
        <v>491</v>
      </c>
      <c r="C249" s="77" t="s">
        <v>70</v>
      </c>
      <c r="D249" s="38">
        <v>2.0</v>
      </c>
      <c r="E249" s="107"/>
      <c r="F249" s="38"/>
    </row>
    <row r="250">
      <c r="A250" s="75" t="s">
        <v>110</v>
      </c>
      <c r="B250" s="38" t="s">
        <v>491</v>
      </c>
      <c r="C250" s="77" t="s">
        <v>70</v>
      </c>
      <c r="D250" s="38">
        <v>0.25</v>
      </c>
      <c r="E250" s="107"/>
      <c r="F250" s="38"/>
    </row>
    <row r="251">
      <c r="A251" s="75" t="s">
        <v>196</v>
      </c>
      <c r="B251" s="38" t="s">
        <v>491</v>
      </c>
      <c r="C251" s="77" t="s">
        <v>239</v>
      </c>
      <c r="D251" s="38">
        <v>2.0</v>
      </c>
      <c r="E251" s="107"/>
      <c r="F251" s="38"/>
    </row>
    <row r="252">
      <c r="A252" s="75" t="s">
        <v>179</v>
      </c>
      <c r="B252" s="38" t="s">
        <v>491</v>
      </c>
      <c r="C252" s="77" t="s">
        <v>70</v>
      </c>
      <c r="D252" s="38">
        <v>6.0</v>
      </c>
      <c r="E252" s="107"/>
      <c r="F252" s="38"/>
    </row>
    <row r="253">
      <c r="A253" s="75" t="s">
        <v>474</v>
      </c>
      <c r="B253" s="38" t="s">
        <v>491</v>
      </c>
      <c r="C253" s="77" t="s">
        <v>70</v>
      </c>
      <c r="D253" s="38">
        <v>3.0</v>
      </c>
      <c r="E253" s="107"/>
      <c r="F253" s="38"/>
    </row>
    <row r="254">
      <c r="A254" s="75" t="s">
        <v>163</v>
      </c>
      <c r="B254" s="38" t="s">
        <v>491</v>
      </c>
      <c r="C254" s="77" t="s">
        <v>70</v>
      </c>
      <c r="D254" s="38">
        <v>2.0</v>
      </c>
      <c r="E254" s="107"/>
      <c r="F254" s="38"/>
    </row>
    <row r="255">
      <c r="A255" s="75" t="s">
        <v>476</v>
      </c>
      <c r="B255" s="38" t="s">
        <v>491</v>
      </c>
      <c r="C255" s="77" t="s">
        <v>70</v>
      </c>
      <c r="D255" s="38">
        <v>3.0</v>
      </c>
      <c r="E255" s="107"/>
      <c r="F255" s="38"/>
    </row>
    <row r="256">
      <c r="A256" s="75" t="s">
        <v>198</v>
      </c>
      <c r="B256" s="38" t="s">
        <v>491</v>
      </c>
      <c r="C256" s="77" t="s">
        <v>70</v>
      </c>
      <c r="D256" s="38">
        <v>0.5</v>
      </c>
      <c r="E256" s="107"/>
      <c r="F256" s="38"/>
    </row>
    <row r="257">
      <c r="A257" s="75"/>
      <c r="B257" s="37"/>
      <c r="C257" s="77" t="s">
        <v>397</v>
      </c>
      <c r="D257" s="37"/>
      <c r="E257" s="107"/>
      <c r="F257" s="38"/>
    </row>
    <row r="258">
      <c r="A258" s="75"/>
      <c r="B258" s="37"/>
      <c r="C258" s="77" t="s">
        <v>303</v>
      </c>
      <c r="D258" s="37"/>
      <c r="E258" s="107"/>
      <c r="F258" s="38"/>
    </row>
    <row r="259">
      <c r="A259" s="75"/>
      <c r="B259" s="37"/>
      <c r="C259" s="77" t="s">
        <v>84</v>
      </c>
      <c r="D259" s="37"/>
      <c r="E259" s="107"/>
      <c r="F259" s="38"/>
    </row>
    <row r="260">
      <c r="A260" s="75"/>
      <c r="B260" s="37"/>
      <c r="C260" s="77" t="s">
        <v>70</v>
      </c>
      <c r="D260" s="37"/>
      <c r="E260" s="107"/>
      <c r="F260" s="38"/>
    </row>
    <row r="261">
      <c r="A261" s="75"/>
      <c r="B261" s="37"/>
      <c r="C261" s="77" t="s">
        <v>370</v>
      </c>
      <c r="D261" s="37"/>
      <c r="E261" s="107"/>
      <c r="F261" s="38"/>
    </row>
    <row r="262">
      <c r="A262" s="75"/>
      <c r="B262" s="37"/>
      <c r="C262" s="77" t="s">
        <v>259</v>
      </c>
      <c r="D262" s="37"/>
      <c r="E262" s="107"/>
      <c r="F262" s="38"/>
    </row>
    <row r="263">
      <c r="A263" s="75"/>
      <c r="B263" s="37"/>
      <c r="C263" s="77" t="s">
        <v>239</v>
      </c>
      <c r="D263" s="37"/>
      <c r="E263" s="107"/>
      <c r="F263" s="38"/>
    </row>
    <row r="264">
      <c r="A264" s="75"/>
      <c r="B264" s="37"/>
      <c r="C264" s="77" t="s">
        <v>77</v>
      </c>
      <c r="D264" s="37"/>
      <c r="E264" s="107"/>
      <c r="F264" s="38"/>
    </row>
    <row r="265">
      <c r="A265" s="75"/>
      <c r="B265" s="37"/>
      <c r="C265" s="77" t="s">
        <v>79</v>
      </c>
      <c r="D265" s="37"/>
      <c r="E265" s="107"/>
      <c r="F265" s="38"/>
    </row>
    <row r="266">
      <c r="A266" s="75"/>
      <c r="B266" s="37"/>
      <c r="C266" s="77" t="s">
        <v>469</v>
      </c>
      <c r="D266" s="37"/>
      <c r="E266" s="107"/>
      <c r="F266" s="38"/>
    </row>
    <row r="267">
      <c r="A267" s="75"/>
      <c r="B267" s="37"/>
      <c r="C267" s="77"/>
      <c r="D267" s="37"/>
      <c r="E267" s="107"/>
      <c r="F267" s="38"/>
    </row>
    <row r="268">
      <c r="A268" s="75"/>
      <c r="B268" s="37"/>
      <c r="C268" s="77"/>
      <c r="D268" s="37"/>
      <c r="E268" s="107"/>
      <c r="F268" s="38"/>
    </row>
    <row r="269">
      <c r="A269" s="75"/>
      <c r="B269" s="37"/>
      <c r="C269" s="77"/>
      <c r="D269" s="37"/>
      <c r="E269" s="107"/>
      <c r="F269" s="38"/>
    </row>
    <row r="270">
      <c r="A270" s="75"/>
      <c r="B270" s="37"/>
      <c r="C270" s="77"/>
      <c r="D270" s="37"/>
      <c r="E270" s="107"/>
      <c r="F270" s="38"/>
    </row>
    <row r="271">
      <c r="A271" s="75"/>
      <c r="B271" s="37"/>
      <c r="C271" s="77"/>
      <c r="D271" s="37"/>
      <c r="E271" s="107"/>
      <c r="F271" s="38"/>
    </row>
    <row r="272">
      <c r="A272" s="75"/>
      <c r="B272" s="37"/>
      <c r="C272" s="77"/>
      <c r="D272" s="37"/>
      <c r="E272" s="107"/>
      <c r="F272" s="38"/>
    </row>
    <row r="273">
      <c r="A273" s="75"/>
      <c r="B273" s="37"/>
      <c r="C273" s="77"/>
      <c r="D273" s="37"/>
      <c r="E273" s="107"/>
      <c r="F273" s="38"/>
    </row>
    <row r="274">
      <c r="A274" s="75"/>
      <c r="B274" s="37"/>
      <c r="C274" s="77"/>
      <c r="D274" s="37"/>
      <c r="E274" s="107"/>
      <c r="F274" s="38"/>
    </row>
  </sheetData>
  <dataValidations>
    <dataValidation type="list" allowBlank="1" showErrorMessage="1" sqref="F2:F77 F79:F274">
      <formula1>"DINNER,LUNCH,SNACKS,TIFFIN,TEA,FOR ORDER ,SPECELE  ITEMS "</formula1>
    </dataValidation>
    <dataValidation type="list" allowBlank="1" showErrorMessage="1" sqref="A2:A117 A119:A274">
      <formula1>" DETERGENT POWDER-KG, GODUMA RAVA-KG, VERU SENGA GULLU,AAVALU,ANASA PUVU-50GM,APPADALU,BATANI,BELLAM-KG,black salt powder-KG,BOBBARLU,BOMBAI RAVVA-KG,CHAT MASALA-50GM,CHAYA MINAPAGULLU-25KG BAG,CHAYA MINAPAPPU,Chicken Masala Powder-[ACHI]-50G,CHILLI SAUCE"&amp;" - 500GM,CHINTHA PANDU,COCONUT POWDER-KG,CORNFLEX POWDER,DALDA-893GM,Dhaniyalu Podi,Dhaniyalu-500GM,DHASINA CHEKKA-100GM,DHUPSTICKS,EGGS-TRAY,FINGER CHIPS,GOOD DAY BISCUITS,IDLI RAVVA,INGUVA POWDER-50GM,IODIZED SALT - 25KG BAG,JAJI PUVVU-50GM,JEDI PAPPU N"&amp;"UKA -KG,JEDI PAPPU-KG,JELAKARRA,KABULI SHENAGALU-1KG,KANDHI PAPPU-KG,KARAM-500GM,KARPURAM-500GM,KASURI METHI-100GM,KISMIS-500GM,KUMKUMA,LAVANGAM-50GM,MAIDA,MASALA POWDER,MATAN MASALA-100GM,MENTHULU,MILMAKER-30KG,MILMAKER-KG,MINAPPAPU,MINNAPA GULLU,MIRCHI,"&amp;"NUVVULU-WHITE-200GM,OIL-DIPARADHANA,OIL-NUVVULA NUNI,OIL-SUNFLOWER-15KG TIN,PACHI SENAGA PAPPU,PALAV LEEF,PALAVU MALATI MOGGA,PASTA ,PASUPU-500GM,PEPPER ,PESALU-(0RGANIC TATTAVA)-KG,PESALU-1KG,PESARA PAPPU-KG,POOL MAKHANA-250GM,PUTNALU,RASAM POWDER mtr-20"&amp;"0G,RASAM POWDER mtr-200GM,RAW RICE,RICE-26KG,RICE-BASUMATHI-30KG,ROCK SALT-25KG BAG,SAGGU BEYYAM-500GM,SAMBAR POWDER-mtr-100g ,SAMOSA PAPED,SEMYA -100G,SEMYA-850GM,SENAGA PINDI-1KG,SHAJEERA-LOOSE ,SOYA SAUCE 500GM,STAR PUVVU-100GM,SUGAR ,SUGAR-50KG BAG,TA"&amp;"STING SALT,TEA GLASSES -PACKS,TEA POWDER-KHAASS- KG PACK,TOMATO SAUCE - 500GM,VAMU-200GM,VATHULU,VIM DISH WASH SOAP-10GM,VINEGAR-500GM,WATER GLASSES -20PACKS,YALLUKULU-200G,GEE,SCRUB,TESTING SALT"</formula1>
    </dataValidation>
    <dataValidation type="list" allowBlank="1" showErrorMessage="1" sqref="C1">
      <formula1>"TB,BAGS,BOOKS,BOTTEL,BOX,BUNDLES,FT,HRS,KG,LTR,MBPS,MTR,NOS,PACK,PCS,QTY,RFT,SET,SQFT,SQMT,TONS,UOM"</formula1>
    </dataValidation>
    <dataValidation type="list" allowBlank="1" showErrorMessage="1" sqref="E2:E274">
      <formula1>"VEG CURRY,FRY,SAMBAR,RASAM,TIFFIN,Cook Using,CHUTNEY,BIRYANI,FRAID RISE,NON VEG CURRY,RICE,TEA"</formula1>
    </dataValidation>
    <dataValidation type="list" allowBlank="1" showErrorMessage="1" sqref="C2:C274">
      <formula1>"BAGS,BOTTEL,BOX,KG,LTR,NOS,PACK,PCS,QTY,RFT,SET,UOM,GRAM 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11.0"/>
    <col customWidth="1" min="3" max="3" width="25.38"/>
    <col customWidth="1" min="4" max="4" width="13.38"/>
    <col customWidth="1" min="5" max="5" width="14.25"/>
    <col customWidth="1" min="6" max="6" width="8.5"/>
    <col customWidth="1" min="7" max="7" width="7.13"/>
    <col customWidth="1" min="8" max="8" width="8.38"/>
    <col customWidth="1" min="9" max="9" width="8.13"/>
    <col customWidth="1" min="10" max="10" width="8.63"/>
    <col customWidth="1" min="11" max="11" width="8.13"/>
    <col customWidth="1" min="12" max="12" width="9.13"/>
    <col customWidth="1" min="13" max="13" width="8.0"/>
  </cols>
  <sheetData>
    <row r="1">
      <c r="A1" s="71" t="s">
        <v>242</v>
      </c>
      <c r="B1" s="109"/>
      <c r="C1" s="71" t="s">
        <v>492</v>
      </c>
      <c r="D1" s="71" t="s">
        <v>493</v>
      </c>
      <c r="E1" s="71" t="s">
        <v>494</v>
      </c>
      <c r="F1" s="71" t="s">
        <v>495</v>
      </c>
      <c r="G1" s="71" t="s">
        <v>496</v>
      </c>
      <c r="H1" s="110" t="s">
        <v>497</v>
      </c>
      <c r="I1" s="111" t="s">
        <v>498</v>
      </c>
      <c r="J1" s="112" t="s">
        <v>499</v>
      </c>
      <c r="K1" s="113" t="s">
        <v>500</v>
      </c>
      <c r="L1" s="114" t="s">
        <v>501</v>
      </c>
      <c r="M1" s="71" t="s">
        <v>502</v>
      </c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</row>
    <row r="2">
      <c r="A2" s="116">
        <v>46117.0</v>
      </c>
      <c r="B2" s="117" t="s">
        <v>20</v>
      </c>
      <c r="C2" s="118" t="s">
        <v>503</v>
      </c>
      <c r="D2" s="78">
        <v>50.0</v>
      </c>
      <c r="E2" s="78" t="s">
        <v>504</v>
      </c>
      <c r="F2" s="78">
        <v>61.0</v>
      </c>
      <c r="G2" s="78">
        <v>73.0</v>
      </c>
      <c r="H2" s="119"/>
      <c r="I2" s="120">
        <v>0.0</v>
      </c>
      <c r="J2" s="121">
        <v>7.0</v>
      </c>
      <c r="K2" s="122">
        <v>12.0</v>
      </c>
      <c r="L2" s="123">
        <v>0.0</v>
      </c>
      <c r="M2" s="124">
        <f t="shared" ref="M2:M6" si="1">F2+G2+I2+J2+K2+L2</f>
        <v>153</v>
      </c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</row>
    <row r="3">
      <c r="A3" s="116">
        <v>46117.0</v>
      </c>
      <c r="B3" s="125" t="s">
        <v>157</v>
      </c>
      <c r="C3" s="78" t="s">
        <v>505</v>
      </c>
      <c r="D3" s="95"/>
      <c r="E3" s="78" t="s">
        <v>504</v>
      </c>
      <c r="F3" s="95"/>
      <c r="G3" s="95"/>
      <c r="H3" s="126"/>
      <c r="I3" s="127"/>
      <c r="J3" s="128"/>
      <c r="K3" s="129"/>
      <c r="L3" s="130"/>
      <c r="M3" s="124">
        <f t="shared" si="1"/>
        <v>0</v>
      </c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</row>
    <row r="4">
      <c r="A4" s="116">
        <v>46117.0</v>
      </c>
      <c r="B4" s="131"/>
      <c r="C4" s="78" t="s">
        <v>506</v>
      </c>
      <c r="D4" s="78" t="s">
        <v>284</v>
      </c>
      <c r="E4" s="78" t="s">
        <v>504</v>
      </c>
      <c r="F4" s="95"/>
      <c r="G4" s="95"/>
      <c r="H4" s="126"/>
      <c r="I4" s="127"/>
      <c r="J4" s="128"/>
      <c r="K4" s="129"/>
      <c r="L4" s="130"/>
      <c r="M4" s="124">
        <f t="shared" si="1"/>
        <v>0</v>
      </c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</row>
    <row r="5">
      <c r="A5" s="116">
        <v>46117.0</v>
      </c>
      <c r="B5" s="131"/>
      <c r="C5" s="78" t="s">
        <v>507</v>
      </c>
      <c r="D5" s="95"/>
      <c r="E5" s="78" t="s">
        <v>504</v>
      </c>
      <c r="F5" s="95"/>
      <c r="G5" s="95"/>
      <c r="H5" s="126"/>
      <c r="I5" s="127"/>
      <c r="J5" s="128"/>
      <c r="K5" s="129"/>
      <c r="L5" s="130"/>
      <c r="M5" s="124">
        <f t="shared" si="1"/>
        <v>0</v>
      </c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</row>
    <row r="6">
      <c r="A6" s="116">
        <v>46117.0</v>
      </c>
      <c r="B6" s="131"/>
      <c r="C6" s="78" t="s">
        <v>60</v>
      </c>
      <c r="D6" s="95"/>
      <c r="E6" s="78" t="s">
        <v>508</v>
      </c>
      <c r="F6" s="95"/>
      <c r="G6" s="95"/>
      <c r="H6" s="126"/>
      <c r="I6" s="127"/>
      <c r="J6" s="128"/>
      <c r="K6" s="129"/>
      <c r="L6" s="130"/>
      <c r="M6" s="124">
        <f t="shared" si="1"/>
        <v>0</v>
      </c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</row>
    <row r="7">
      <c r="A7" s="116">
        <v>46117.0</v>
      </c>
      <c r="B7" s="131"/>
      <c r="C7" s="78" t="s">
        <v>135</v>
      </c>
      <c r="D7" s="95"/>
      <c r="E7" s="78" t="s">
        <v>504</v>
      </c>
      <c r="F7" s="95"/>
      <c r="G7" s="95"/>
      <c r="H7" s="126"/>
      <c r="I7" s="127"/>
      <c r="J7" s="128"/>
      <c r="K7" s="129"/>
      <c r="L7" s="130"/>
      <c r="M7" s="124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</row>
    <row r="8">
      <c r="A8" s="116">
        <v>46117.0</v>
      </c>
      <c r="B8" s="132"/>
      <c r="C8" s="78" t="s">
        <v>509</v>
      </c>
      <c r="D8" s="95"/>
      <c r="E8" s="78" t="s">
        <v>504</v>
      </c>
      <c r="F8" s="78">
        <v>66.0</v>
      </c>
      <c r="G8" s="78">
        <v>73.0</v>
      </c>
      <c r="H8" s="119">
        <v>16.0</v>
      </c>
      <c r="I8" s="120">
        <v>0.0</v>
      </c>
      <c r="J8" s="121">
        <v>30.0</v>
      </c>
      <c r="K8" s="122">
        <v>12.0</v>
      </c>
      <c r="L8" s="123">
        <v>0.0</v>
      </c>
      <c r="M8" s="124">
        <f t="shared" ref="M8:M20" si="2">F8+G8+I8+J8+K8+L8</f>
        <v>181</v>
      </c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</row>
    <row r="9">
      <c r="A9" s="116">
        <v>46117.0</v>
      </c>
      <c r="B9" s="117" t="s">
        <v>151</v>
      </c>
      <c r="C9" s="133" t="s">
        <v>510</v>
      </c>
      <c r="D9" s="78">
        <v>40.0</v>
      </c>
      <c r="E9" s="78" t="s">
        <v>504</v>
      </c>
      <c r="F9" s="78">
        <v>66.0</v>
      </c>
      <c r="G9" s="78">
        <v>73.0</v>
      </c>
      <c r="H9" s="126"/>
      <c r="I9" s="127"/>
      <c r="J9" s="128"/>
      <c r="K9" s="129"/>
      <c r="L9" s="130"/>
      <c r="M9" s="124">
        <f t="shared" si="2"/>
        <v>139</v>
      </c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</row>
    <row r="10">
      <c r="A10" s="116">
        <v>46117.0</v>
      </c>
      <c r="B10" s="134" t="s">
        <v>155</v>
      </c>
      <c r="C10" s="78" t="s">
        <v>511</v>
      </c>
      <c r="D10" s="78" t="s">
        <v>156</v>
      </c>
      <c r="E10" s="78" t="s">
        <v>504</v>
      </c>
      <c r="F10" s="95"/>
      <c r="G10" s="95"/>
      <c r="H10" s="126"/>
      <c r="I10" s="127"/>
      <c r="J10" s="128"/>
      <c r="K10" s="129"/>
      <c r="L10" s="130"/>
      <c r="M10" s="124">
        <f t="shared" si="2"/>
        <v>0</v>
      </c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</row>
    <row r="11">
      <c r="A11" s="116">
        <v>46117.0</v>
      </c>
      <c r="B11" s="131"/>
      <c r="C11" s="78" t="s">
        <v>512</v>
      </c>
      <c r="D11" s="78" t="s">
        <v>513</v>
      </c>
      <c r="E11" s="78" t="s">
        <v>504</v>
      </c>
      <c r="F11" s="95"/>
      <c r="G11" s="95"/>
      <c r="H11" s="126"/>
      <c r="I11" s="127"/>
      <c r="J11" s="128"/>
      <c r="K11" s="129"/>
      <c r="L11" s="130"/>
      <c r="M11" s="124">
        <f t="shared" si="2"/>
        <v>0</v>
      </c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</row>
    <row r="12">
      <c r="A12" s="116">
        <v>46117.0</v>
      </c>
      <c r="B12" s="131"/>
      <c r="C12" s="78" t="s">
        <v>507</v>
      </c>
      <c r="D12" s="95"/>
      <c r="E12" s="78" t="s">
        <v>504</v>
      </c>
      <c r="F12" s="95"/>
      <c r="G12" s="95"/>
      <c r="H12" s="126"/>
      <c r="I12" s="127"/>
      <c r="J12" s="128"/>
      <c r="K12" s="129"/>
      <c r="L12" s="130"/>
      <c r="M12" s="124">
        <f t="shared" si="2"/>
        <v>0</v>
      </c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</row>
    <row r="13">
      <c r="A13" s="116">
        <v>46117.0</v>
      </c>
      <c r="B13" s="131"/>
      <c r="C13" s="78" t="s">
        <v>509</v>
      </c>
      <c r="D13" s="95"/>
      <c r="E13" s="78" t="s">
        <v>504</v>
      </c>
      <c r="F13" s="95"/>
      <c r="G13" s="95"/>
      <c r="H13" s="126"/>
      <c r="I13" s="127"/>
      <c r="J13" s="128"/>
      <c r="K13" s="129"/>
      <c r="L13" s="130"/>
      <c r="M13" s="124">
        <f t="shared" si="2"/>
        <v>0</v>
      </c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</row>
    <row r="14">
      <c r="A14" s="116">
        <v>46117.0</v>
      </c>
      <c r="B14" s="132"/>
      <c r="C14" s="78" t="s">
        <v>135</v>
      </c>
      <c r="D14" s="78" t="s">
        <v>514</v>
      </c>
      <c r="E14" s="78" t="s">
        <v>508</v>
      </c>
      <c r="F14" s="78">
        <v>66.0</v>
      </c>
      <c r="G14" s="78">
        <v>73.0</v>
      </c>
      <c r="H14" s="126"/>
      <c r="I14" s="127"/>
      <c r="J14" s="128"/>
      <c r="K14" s="122">
        <v>2.0</v>
      </c>
      <c r="L14" s="130"/>
      <c r="M14" s="124">
        <f t="shared" si="2"/>
        <v>141</v>
      </c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</row>
    <row r="15">
      <c r="A15" s="135"/>
      <c r="B15" s="136"/>
      <c r="C15" s="135"/>
      <c r="D15" s="135"/>
      <c r="E15" s="137"/>
      <c r="F15" s="135"/>
      <c r="G15" s="135"/>
      <c r="H15" s="135"/>
      <c r="I15" s="135"/>
      <c r="J15" s="135"/>
      <c r="K15" s="135"/>
      <c r="L15" s="135"/>
      <c r="M15" s="138">
        <f t="shared" si="2"/>
        <v>0</v>
      </c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</row>
    <row r="16">
      <c r="A16" s="116">
        <v>46147.0</v>
      </c>
      <c r="B16" s="117" t="s">
        <v>20</v>
      </c>
      <c r="C16" s="133" t="s">
        <v>515</v>
      </c>
      <c r="D16" s="78" t="s">
        <v>516</v>
      </c>
      <c r="E16" s="78" t="s">
        <v>504</v>
      </c>
      <c r="F16" s="78">
        <v>68.0</v>
      </c>
      <c r="G16" s="78">
        <v>78.0</v>
      </c>
      <c r="H16" s="126"/>
      <c r="I16" s="127"/>
      <c r="J16" s="128"/>
      <c r="K16" s="122">
        <v>13.0</v>
      </c>
      <c r="L16" s="130"/>
      <c r="M16" s="124">
        <f t="shared" si="2"/>
        <v>159</v>
      </c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</row>
    <row r="17">
      <c r="A17" s="116">
        <v>46147.0</v>
      </c>
      <c r="B17" s="125" t="s">
        <v>157</v>
      </c>
      <c r="C17" s="139" t="s">
        <v>517</v>
      </c>
      <c r="D17" s="78">
        <v>0.0</v>
      </c>
      <c r="E17" s="78" t="s">
        <v>504</v>
      </c>
      <c r="F17" s="95"/>
      <c r="G17" s="78">
        <v>50.0</v>
      </c>
      <c r="H17" s="126"/>
      <c r="I17" s="127"/>
      <c r="J17" s="128"/>
      <c r="K17" s="122">
        <v>13.0</v>
      </c>
      <c r="L17" s="130"/>
      <c r="M17" s="124">
        <f t="shared" si="2"/>
        <v>63</v>
      </c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</row>
    <row r="18">
      <c r="A18" s="116">
        <v>46147.0</v>
      </c>
      <c r="B18" s="131"/>
      <c r="C18" s="140" t="s">
        <v>518</v>
      </c>
      <c r="D18" s="78" t="s">
        <v>519</v>
      </c>
      <c r="E18" s="78" t="s">
        <v>504</v>
      </c>
      <c r="F18" s="95"/>
      <c r="G18" s="78">
        <v>43.0</v>
      </c>
      <c r="H18" s="119">
        <v>10.0</v>
      </c>
      <c r="I18" s="120">
        <v>0.0</v>
      </c>
      <c r="J18" s="128"/>
      <c r="K18" s="129"/>
      <c r="L18" s="130"/>
      <c r="M18" s="124">
        <f t="shared" si="2"/>
        <v>43</v>
      </c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</row>
    <row r="19">
      <c r="A19" s="116">
        <v>46147.0</v>
      </c>
      <c r="B19" s="131"/>
      <c r="C19" s="78" t="s">
        <v>520</v>
      </c>
      <c r="D19" s="78" t="s">
        <v>521</v>
      </c>
      <c r="E19" s="78" t="s">
        <v>508</v>
      </c>
      <c r="F19" s="95"/>
      <c r="G19" s="95"/>
      <c r="H19" s="126"/>
      <c r="I19" s="127"/>
      <c r="J19" s="128"/>
      <c r="K19" s="129"/>
      <c r="L19" s="130"/>
      <c r="M19" s="124">
        <f t="shared" si="2"/>
        <v>0</v>
      </c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</row>
    <row r="20">
      <c r="A20" s="116">
        <v>46147.0</v>
      </c>
      <c r="B20" s="131"/>
      <c r="C20" s="78" t="s">
        <v>522</v>
      </c>
      <c r="D20" s="95"/>
      <c r="E20" s="78" t="s">
        <v>504</v>
      </c>
      <c r="F20" s="95"/>
      <c r="G20" s="95"/>
      <c r="H20" s="126"/>
      <c r="I20" s="127"/>
      <c r="J20" s="128"/>
      <c r="K20" s="129"/>
      <c r="L20" s="130"/>
      <c r="M20" s="124">
        <f t="shared" si="2"/>
        <v>0</v>
      </c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</row>
    <row r="21">
      <c r="A21" s="116">
        <v>46147.0</v>
      </c>
      <c r="B21" s="131"/>
      <c r="C21" s="78" t="s">
        <v>523</v>
      </c>
      <c r="D21" s="95"/>
      <c r="E21" s="78" t="s">
        <v>504</v>
      </c>
      <c r="F21" s="95"/>
      <c r="G21" s="95"/>
      <c r="H21" s="126"/>
      <c r="I21" s="127"/>
      <c r="J21" s="128"/>
      <c r="K21" s="129"/>
      <c r="L21" s="130"/>
      <c r="M21" s="124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</row>
    <row r="22">
      <c r="A22" s="116">
        <v>46147.0</v>
      </c>
      <c r="B22" s="131"/>
      <c r="C22" s="78" t="s">
        <v>509</v>
      </c>
      <c r="D22" s="95"/>
      <c r="E22" s="78" t="s">
        <v>504</v>
      </c>
      <c r="F22" s="95"/>
      <c r="G22" s="95"/>
      <c r="H22" s="126"/>
      <c r="I22" s="127"/>
      <c r="J22" s="128"/>
      <c r="K22" s="129"/>
      <c r="L22" s="130"/>
      <c r="M22" s="124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</row>
    <row r="23">
      <c r="A23" s="116">
        <v>46147.0</v>
      </c>
      <c r="B23" s="132"/>
      <c r="C23" s="78" t="s">
        <v>135</v>
      </c>
      <c r="D23" s="78" t="s">
        <v>521</v>
      </c>
      <c r="E23" s="78" t="s">
        <v>504</v>
      </c>
      <c r="F23" s="78"/>
      <c r="G23" s="78"/>
      <c r="H23" s="119"/>
      <c r="I23" s="120"/>
      <c r="J23" s="121"/>
      <c r="K23" s="122"/>
      <c r="L23" s="130"/>
      <c r="M23" s="124">
        <f t="shared" ref="M23:M94" si="3">F23+G23+I23+J23+K23+L23</f>
        <v>0</v>
      </c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</row>
    <row r="24">
      <c r="A24" s="116">
        <v>46147.0</v>
      </c>
      <c r="B24" s="117" t="s">
        <v>151</v>
      </c>
      <c r="C24" s="78" t="s">
        <v>524</v>
      </c>
      <c r="D24" s="78">
        <v>0.0</v>
      </c>
      <c r="E24" s="78" t="s">
        <v>504</v>
      </c>
      <c r="F24" s="78">
        <v>68.0</v>
      </c>
      <c r="G24" s="78">
        <v>75.0</v>
      </c>
      <c r="H24" s="126"/>
      <c r="I24" s="127"/>
      <c r="J24" s="128"/>
      <c r="K24" s="122">
        <v>13.0</v>
      </c>
      <c r="L24" s="123"/>
      <c r="M24" s="124">
        <f t="shared" si="3"/>
        <v>156</v>
      </c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</row>
    <row r="25">
      <c r="A25" s="116">
        <v>46147.0</v>
      </c>
      <c r="B25" s="141" t="s">
        <v>155</v>
      </c>
      <c r="C25" s="78" t="s">
        <v>525</v>
      </c>
      <c r="D25" s="78" t="s">
        <v>519</v>
      </c>
      <c r="E25" s="78" t="s">
        <v>504</v>
      </c>
      <c r="F25" s="78"/>
      <c r="G25" s="78"/>
      <c r="H25" s="126"/>
      <c r="I25" s="127"/>
      <c r="J25" s="128"/>
      <c r="K25" s="129"/>
      <c r="L25" s="130"/>
      <c r="M25" s="124">
        <f t="shared" si="3"/>
        <v>0</v>
      </c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</row>
    <row r="26">
      <c r="A26" s="116">
        <v>46147.0</v>
      </c>
      <c r="B26" s="131"/>
      <c r="C26" s="78" t="s">
        <v>526</v>
      </c>
      <c r="D26" s="78">
        <v>0.0</v>
      </c>
      <c r="E26" s="78" t="s">
        <v>504</v>
      </c>
      <c r="F26" s="95"/>
      <c r="G26" s="95"/>
      <c r="H26" s="126"/>
      <c r="I26" s="127"/>
      <c r="J26" s="128"/>
      <c r="K26" s="129"/>
      <c r="L26" s="130"/>
      <c r="M26" s="124">
        <f t="shared" si="3"/>
        <v>0</v>
      </c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</row>
    <row r="27">
      <c r="A27" s="116">
        <v>46147.0</v>
      </c>
      <c r="B27" s="131"/>
      <c r="C27" s="78" t="s">
        <v>522</v>
      </c>
      <c r="D27" s="78" t="s">
        <v>519</v>
      </c>
      <c r="E27" s="78" t="s">
        <v>504</v>
      </c>
      <c r="F27" s="95"/>
      <c r="G27" s="95"/>
      <c r="H27" s="126"/>
      <c r="I27" s="127"/>
      <c r="J27" s="128"/>
      <c r="K27" s="129"/>
      <c r="L27" s="130"/>
      <c r="M27" s="124">
        <f t="shared" si="3"/>
        <v>0</v>
      </c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</row>
    <row r="28">
      <c r="A28" s="116">
        <v>46147.0</v>
      </c>
      <c r="B28" s="131"/>
      <c r="C28" s="78" t="s">
        <v>509</v>
      </c>
      <c r="D28" s="78" t="s">
        <v>519</v>
      </c>
      <c r="E28" s="78" t="s">
        <v>504</v>
      </c>
      <c r="F28" s="95"/>
      <c r="G28" s="95"/>
      <c r="H28" s="126"/>
      <c r="I28" s="127"/>
      <c r="J28" s="128"/>
      <c r="K28" s="129"/>
      <c r="L28" s="130"/>
      <c r="M28" s="124">
        <f t="shared" si="3"/>
        <v>0</v>
      </c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</row>
    <row r="29">
      <c r="A29" s="116">
        <v>46147.0</v>
      </c>
      <c r="B29" s="132"/>
      <c r="C29" s="78" t="s">
        <v>135</v>
      </c>
      <c r="D29" s="78" t="s">
        <v>519</v>
      </c>
      <c r="E29" s="78" t="s">
        <v>504</v>
      </c>
      <c r="F29" s="78">
        <v>68.0</v>
      </c>
      <c r="G29" s="78">
        <v>83.0</v>
      </c>
      <c r="H29" s="126"/>
      <c r="I29" s="127"/>
      <c r="J29" s="121">
        <v>3.0</v>
      </c>
      <c r="K29" s="122">
        <v>5.0</v>
      </c>
      <c r="L29" s="130"/>
      <c r="M29" s="124">
        <f t="shared" si="3"/>
        <v>159</v>
      </c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</row>
    <row r="30">
      <c r="A30" s="142"/>
      <c r="B30" s="136"/>
      <c r="C30" s="135"/>
      <c r="D30" s="135"/>
      <c r="E30" s="137"/>
      <c r="F30" s="135"/>
      <c r="G30" s="135"/>
      <c r="H30" s="135"/>
      <c r="I30" s="135"/>
      <c r="J30" s="135"/>
      <c r="K30" s="135"/>
      <c r="L30" s="135"/>
      <c r="M30" s="138">
        <f t="shared" si="3"/>
        <v>0</v>
      </c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</row>
    <row r="31">
      <c r="A31" s="116">
        <v>46178.0</v>
      </c>
      <c r="B31" s="117" t="s">
        <v>20</v>
      </c>
      <c r="C31" s="78" t="s">
        <v>527</v>
      </c>
      <c r="D31" s="78" t="s">
        <v>528</v>
      </c>
      <c r="E31" s="78" t="s">
        <v>508</v>
      </c>
      <c r="F31" s="78">
        <v>66.0</v>
      </c>
      <c r="G31" s="78">
        <v>80.0</v>
      </c>
      <c r="H31" s="126"/>
      <c r="I31" s="127"/>
      <c r="J31" s="128"/>
      <c r="K31" s="122">
        <v>11.0</v>
      </c>
      <c r="L31" s="130"/>
      <c r="M31" s="124">
        <f t="shared" si="3"/>
        <v>157</v>
      </c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</row>
    <row r="32">
      <c r="A32" s="116">
        <v>46178.0</v>
      </c>
      <c r="B32" s="125" t="s">
        <v>157</v>
      </c>
      <c r="C32" s="133" t="s">
        <v>529</v>
      </c>
      <c r="D32" s="95"/>
      <c r="E32" s="78" t="s">
        <v>504</v>
      </c>
      <c r="F32" s="78">
        <v>61.0</v>
      </c>
      <c r="G32" s="78">
        <v>72.0</v>
      </c>
      <c r="H32" s="126"/>
      <c r="I32" s="127"/>
      <c r="J32" s="121">
        <v>1.0</v>
      </c>
      <c r="K32" s="122">
        <v>10.0</v>
      </c>
      <c r="L32" s="130"/>
      <c r="M32" s="124">
        <f t="shared" si="3"/>
        <v>144</v>
      </c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</row>
    <row r="33">
      <c r="A33" s="116">
        <v>46178.0</v>
      </c>
      <c r="B33" s="131"/>
      <c r="C33" s="78" t="s">
        <v>530</v>
      </c>
      <c r="D33" s="95"/>
      <c r="E33" s="78" t="s">
        <v>504</v>
      </c>
      <c r="F33" s="78">
        <v>5.0</v>
      </c>
      <c r="G33" s="78">
        <v>10.0</v>
      </c>
      <c r="H33" s="119">
        <v>14.0</v>
      </c>
      <c r="I33" s="127"/>
      <c r="J33" s="128"/>
      <c r="K33" s="122">
        <v>1.0</v>
      </c>
      <c r="L33" s="130"/>
      <c r="M33" s="124">
        <f t="shared" si="3"/>
        <v>16</v>
      </c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</row>
    <row r="34">
      <c r="A34" s="116">
        <v>46178.0</v>
      </c>
      <c r="B34" s="131"/>
      <c r="C34" s="143" t="s">
        <v>531</v>
      </c>
      <c r="D34" s="95"/>
      <c r="E34" s="78" t="s">
        <v>504</v>
      </c>
      <c r="F34" s="95"/>
      <c r="G34" s="95"/>
      <c r="H34" s="126"/>
      <c r="I34" s="127"/>
      <c r="J34" s="128"/>
      <c r="K34" s="129"/>
      <c r="L34" s="130"/>
      <c r="M34" s="124">
        <f t="shared" si="3"/>
        <v>0</v>
      </c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</row>
    <row r="35">
      <c r="A35" s="116">
        <v>46178.0</v>
      </c>
      <c r="B35" s="131"/>
      <c r="C35" s="78" t="s">
        <v>532</v>
      </c>
      <c r="D35" s="95"/>
      <c r="E35" s="78" t="s">
        <v>504</v>
      </c>
      <c r="F35" s="95"/>
      <c r="G35" s="95"/>
      <c r="H35" s="126"/>
      <c r="I35" s="127"/>
      <c r="J35" s="128"/>
      <c r="K35" s="129"/>
      <c r="L35" s="130"/>
      <c r="M35" s="124">
        <f t="shared" si="3"/>
        <v>0</v>
      </c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</row>
    <row r="36">
      <c r="A36" s="116">
        <v>46178.0</v>
      </c>
      <c r="B36" s="131"/>
      <c r="C36" s="78" t="s">
        <v>509</v>
      </c>
      <c r="D36" s="95"/>
      <c r="E36" s="78" t="s">
        <v>504</v>
      </c>
      <c r="F36" s="95"/>
      <c r="G36" s="95"/>
      <c r="H36" s="126"/>
      <c r="I36" s="127"/>
      <c r="J36" s="128"/>
      <c r="K36" s="129"/>
      <c r="L36" s="130"/>
      <c r="M36" s="124">
        <f t="shared" si="3"/>
        <v>0</v>
      </c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</row>
    <row r="37">
      <c r="A37" s="116">
        <v>46178.0</v>
      </c>
      <c r="B37" s="132"/>
      <c r="C37" s="78" t="s">
        <v>135</v>
      </c>
      <c r="D37" s="78" t="s">
        <v>533</v>
      </c>
      <c r="E37" s="78" t="s">
        <v>504</v>
      </c>
      <c r="F37" s="95"/>
      <c r="G37" s="95"/>
      <c r="H37" s="126"/>
      <c r="I37" s="127"/>
      <c r="J37" s="128"/>
      <c r="K37" s="129"/>
      <c r="L37" s="130"/>
      <c r="M37" s="124">
        <f t="shared" si="3"/>
        <v>0</v>
      </c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</row>
    <row r="38">
      <c r="A38" s="116">
        <v>46178.0</v>
      </c>
      <c r="B38" s="117" t="s">
        <v>151</v>
      </c>
      <c r="C38" s="78" t="s">
        <v>534</v>
      </c>
      <c r="D38" s="95"/>
      <c r="E38" s="78" t="s">
        <v>504</v>
      </c>
      <c r="F38" s="78">
        <v>66.0</v>
      </c>
      <c r="G38" s="78">
        <v>80.0</v>
      </c>
      <c r="H38" s="126"/>
      <c r="I38" s="127"/>
      <c r="J38" s="128"/>
      <c r="K38" s="129"/>
      <c r="L38" s="130"/>
      <c r="M38" s="124">
        <f t="shared" si="3"/>
        <v>146</v>
      </c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</row>
    <row r="39">
      <c r="A39" s="116">
        <v>46178.0</v>
      </c>
      <c r="B39" s="141" t="s">
        <v>155</v>
      </c>
      <c r="C39" s="78" t="s">
        <v>535</v>
      </c>
      <c r="D39" s="95"/>
      <c r="E39" s="78" t="s">
        <v>508</v>
      </c>
      <c r="F39" s="95"/>
      <c r="G39" s="95"/>
      <c r="H39" s="126"/>
      <c r="I39" s="127"/>
      <c r="J39" s="128"/>
      <c r="K39" s="129"/>
      <c r="L39" s="130"/>
      <c r="M39" s="124">
        <f t="shared" si="3"/>
        <v>0</v>
      </c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</row>
    <row r="40">
      <c r="A40" s="116">
        <v>46178.0</v>
      </c>
      <c r="B40" s="131"/>
      <c r="C40" s="78" t="s">
        <v>536</v>
      </c>
      <c r="D40" s="95"/>
      <c r="E40" s="78" t="s">
        <v>504</v>
      </c>
      <c r="F40" s="95"/>
      <c r="G40" s="95"/>
      <c r="H40" s="126"/>
      <c r="I40" s="127"/>
      <c r="J40" s="128"/>
      <c r="K40" s="129"/>
      <c r="L40" s="130"/>
      <c r="M40" s="124">
        <f t="shared" si="3"/>
        <v>0</v>
      </c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</row>
    <row r="41">
      <c r="A41" s="116">
        <v>46178.0</v>
      </c>
      <c r="B41" s="131"/>
      <c r="C41" s="143" t="s">
        <v>531</v>
      </c>
      <c r="D41" s="95"/>
      <c r="E41" s="78" t="s">
        <v>504</v>
      </c>
      <c r="F41" s="95"/>
      <c r="G41" s="95"/>
      <c r="H41" s="126"/>
      <c r="I41" s="127"/>
      <c r="J41" s="128"/>
      <c r="K41" s="129"/>
      <c r="L41" s="130"/>
      <c r="M41" s="124">
        <f t="shared" si="3"/>
        <v>0</v>
      </c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</row>
    <row r="42">
      <c r="A42" s="116">
        <v>46178.0</v>
      </c>
      <c r="B42" s="131"/>
      <c r="C42" s="78" t="s">
        <v>509</v>
      </c>
      <c r="D42" s="95"/>
      <c r="E42" s="78" t="s">
        <v>504</v>
      </c>
      <c r="F42" s="95"/>
      <c r="G42" s="95"/>
      <c r="H42" s="126"/>
      <c r="I42" s="127"/>
      <c r="J42" s="128"/>
      <c r="K42" s="129"/>
      <c r="L42" s="130"/>
      <c r="M42" s="124">
        <f t="shared" si="3"/>
        <v>0</v>
      </c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</row>
    <row r="43">
      <c r="A43" s="116">
        <v>46178.0</v>
      </c>
      <c r="B43" s="132"/>
      <c r="C43" s="78" t="s">
        <v>135</v>
      </c>
      <c r="D43" s="95"/>
      <c r="E43" s="78" t="s">
        <v>504</v>
      </c>
      <c r="F43" s="78">
        <v>66.0</v>
      </c>
      <c r="G43" s="78">
        <v>80.0</v>
      </c>
      <c r="H43" s="126"/>
      <c r="I43" s="127"/>
      <c r="J43" s="121">
        <v>2.0</v>
      </c>
      <c r="K43" s="122">
        <v>5.0</v>
      </c>
      <c r="L43" s="130"/>
      <c r="M43" s="124">
        <f t="shared" si="3"/>
        <v>153</v>
      </c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</row>
    <row r="44">
      <c r="A44" s="142"/>
      <c r="B44" s="136"/>
      <c r="C44" s="135"/>
      <c r="D44" s="135"/>
      <c r="E44" s="137"/>
      <c r="F44" s="135"/>
      <c r="G44" s="135"/>
      <c r="H44" s="135"/>
      <c r="I44" s="135"/>
      <c r="J44" s="135"/>
      <c r="K44" s="135"/>
      <c r="L44" s="135"/>
      <c r="M44" s="138">
        <f t="shared" si="3"/>
        <v>0</v>
      </c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</row>
    <row r="45">
      <c r="A45" s="116">
        <v>46208.0</v>
      </c>
      <c r="B45" s="117" t="s">
        <v>20</v>
      </c>
      <c r="C45" s="78" t="s">
        <v>537</v>
      </c>
      <c r="D45" s="78" t="s">
        <v>538</v>
      </c>
      <c r="E45" s="78" t="s">
        <v>504</v>
      </c>
      <c r="F45" s="78">
        <v>62.0</v>
      </c>
      <c r="G45" s="78">
        <v>80.0</v>
      </c>
      <c r="H45" s="126"/>
      <c r="I45" s="127"/>
      <c r="J45" s="121"/>
      <c r="K45" s="122">
        <v>11.0</v>
      </c>
      <c r="L45" s="130"/>
      <c r="M45" s="124">
        <f t="shared" si="3"/>
        <v>153</v>
      </c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</row>
    <row r="46">
      <c r="A46" s="116">
        <v>46208.0</v>
      </c>
      <c r="B46" s="125" t="s">
        <v>539</v>
      </c>
      <c r="C46" s="78" t="s">
        <v>540</v>
      </c>
      <c r="D46" s="95"/>
      <c r="E46" s="78" t="s">
        <v>504</v>
      </c>
      <c r="F46" s="95"/>
      <c r="G46" s="95"/>
      <c r="H46" s="126"/>
      <c r="I46" s="127"/>
      <c r="J46" s="128"/>
      <c r="K46" s="129"/>
      <c r="L46" s="130"/>
      <c r="M46" s="124">
        <f t="shared" si="3"/>
        <v>0</v>
      </c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</row>
    <row r="47">
      <c r="A47" s="116">
        <v>46208.0</v>
      </c>
      <c r="B47" s="131"/>
      <c r="C47" s="78" t="s">
        <v>541</v>
      </c>
      <c r="D47" s="95"/>
      <c r="E47" s="78" t="s">
        <v>504</v>
      </c>
      <c r="F47" s="95"/>
      <c r="G47" s="95"/>
      <c r="H47" s="126"/>
      <c r="I47" s="127"/>
      <c r="J47" s="128"/>
      <c r="K47" s="129"/>
      <c r="L47" s="130"/>
      <c r="M47" s="124">
        <f t="shared" si="3"/>
        <v>0</v>
      </c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</row>
    <row r="48">
      <c r="A48" s="116">
        <v>46208.0</v>
      </c>
      <c r="B48" s="131"/>
      <c r="C48" s="78" t="s">
        <v>542</v>
      </c>
      <c r="D48" s="95"/>
      <c r="E48" s="78" t="s">
        <v>504</v>
      </c>
      <c r="F48" s="95"/>
      <c r="G48" s="95"/>
      <c r="H48" s="126"/>
      <c r="I48" s="127"/>
      <c r="J48" s="128"/>
      <c r="K48" s="129"/>
      <c r="L48" s="130"/>
      <c r="M48" s="124">
        <f t="shared" si="3"/>
        <v>0</v>
      </c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</row>
    <row r="49">
      <c r="A49" s="116">
        <v>46208.0</v>
      </c>
      <c r="B49" s="131"/>
      <c r="C49" s="78" t="s">
        <v>60</v>
      </c>
      <c r="D49" s="78" t="s">
        <v>543</v>
      </c>
      <c r="E49" s="78" t="s">
        <v>504</v>
      </c>
      <c r="F49" s="95"/>
      <c r="G49" s="95"/>
      <c r="H49" s="126"/>
      <c r="I49" s="127"/>
      <c r="J49" s="128"/>
      <c r="K49" s="129"/>
      <c r="L49" s="130"/>
      <c r="M49" s="124">
        <f t="shared" si="3"/>
        <v>0</v>
      </c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</row>
    <row r="50">
      <c r="A50" s="116">
        <v>46208.0</v>
      </c>
      <c r="B50" s="131"/>
      <c r="C50" s="78" t="s">
        <v>509</v>
      </c>
      <c r="D50" s="95"/>
      <c r="E50" s="78" t="s">
        <v>504</v>
      </c>
      <c r="F50" s="95"/>
      <c r="G50" s="95"/>
      <c r="H50" s="126"/>
      <c r="I50" s="127"/>
      <c r="J50" s="128"/>
      <c r="K50" s="129"/>
      <c r="L50" s="130"/>
      <c r="M50" s="124">
        <f t="shared" si="3"/>
        <v>0</v>
      </c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</row>
    <row r="51">
      <c r="A51" s="116">
        <v>46208.0</v>
      </c>
      <c r="B51" s="132"/>
      <c r="C51" s="78" t="s">
        <v>135</v>
      </c>
      <c r="D51" s="95"/>
      <c r="E51" s="78" t="s">
        <v>504</v>
      </c>
      <c r="F51" s="78">
        <v>62.0</v>
      </c>
      <c r="G51" s="78">
        <v>80.0</v>
      </c>
      <c r="H51" s="119">
        <v>8.0</v>
      </c>
      <c r="I51" s="127"/>
      <c r="J51" s="121">
        <v>2.0</v>
      </c>
      <c r="K51" s="122">
        <v>11.0</v>
      </c>
      <c r="L51" s="130"/>
      <c r="M51" s="124">
        <f t="shared" si="3"/>
        <v>155</v>
      </c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</row>
    <row r="52">
      <c r="A52" s="116">
        <v>46208.0</v>
      </c>
      <c r="B52" s="117" t="s">
        <v>151</v>
      </c>
      <c r="C52" s="78" t="s">
        <v>544</v>
      </c>
      <c r="D52" s="78" t="s">
        <v>528</v>
      </c>
      <c r="E52" s="78" t="s">
        <v>508</v>
      </c>
      <c r="F52" s="78">
        <v>62.0</v>
      </c>
      <c r="G52" s="78">
        <v>80.0</v>
      </c>
      <c r="H52" s="126"/>
      <c r="I52" s="127"/>
      <c r="J52" s="128"/>
      <c r="K52" s="129"/>
      <c r="L52" s="130"/>
      <c r="M52" s="124">
        <f t="shared" si="3"/>
        <v>142</v>
      </c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</row>
    <row r="53">
      <c r="A53" s="116">
        <v>46208.0</v>
      </c>
      <c r="B53" s="141" t="s">
        <v>155</v>
      </c>
      <c r="C53" s="78" t="s">
        <v>545</v>
      </c>
      <c r="D53" s="95"/>
      <c r="E53" s="78" t="s">
        <v>504</v>
      </c>
      <c r="F53" s="78">
        <v>62.0</v>
      </c>
      <c r="G53" s="78">
        <v>75.0</v>
      </c>
      <c r="H53" s="126"/>
      <c r="I53" s="127"/>
      <c r="J53" s="121">
        <v>2.0</v>
      </c>
      <c r="K53" s="122">
        <v>5.0</v>
      </c>
      <c r="L53" s="130"/>
      <c r="M53" s="124">
        <f t="shared" si="3"/>
        <v>144</v>
      </c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</row>
    <row r="54">
      <c r="A54" s="116">
        <v>46208.0</v>
      </c>
      <c r="B54" s="131"/>
      <c r="C54" s="78" t="s">
        <v>93</v>
      </c>
      <c r="D54" s="95"/>
      <c r="E54" s="78" t="s">
        <v>504</v>
      </c>
      <c r="F54" s="95"/>
      <c r="G54" s="95"/>
      <c r="H54" s="126"/>
      <c r="I54" s="127"/>
      <c r="J54" s="128"/>
      <c r="K54" s="129"/>
      <c r="L54" s="130"/>
      <c r="M54" s="124">
        <f t="shared" si="3"/>
        <v>0</v>
      </c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</row>
    <row r="55">
      <c r="A55" s="116">
        <v>46208.0</v>
      </c>
      <c r="B55" s="131"/>
      <c r="C55" s="78" t="s">
        <v>542</v>
      </c>
      <c r="D55" s="95"/>
      <c r="E55" s="78" t="s">
        <v>504</v>
      </c>
      <c r="F55" s="95"/>
      <c r="G55" s="95"/>
      <c r="H55" s="126"/>
      <c r="I55" s="127"/>
      <c r="J55" s="128"/>
      <c r="K55" s="129"/>
      <c r="L55" s="130"/>
      <c r="M55" s="124">
        <f t="shared" si="3"/>
        <v>0</v>
      </c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</row>
    <row r="56">
      <c r="A56" s="116">
        <v>46208.0</v>
      </c>
      <c r="B56" s="131"/>
      <c r="C56" s="78" t="s">
        <v>509</v>
      </c>
      <c r="D56" s="95"/>
      <c r="E56" s="78" t="s">
        <v>504</v>
      </c>
      <c r="F56" s="95"/>
      <c r="G56" s="95"/>
      <c r="H56" s="126"/>
      <c r="I56" s="127"/>
      <c r="J56" s="128"/>
      <c r="K56" s="129"/>
      <c r="L56" s="130"/>
      <c r="M56" s="124">
        <f t="shared" si="3"/>
        <v>0</v>
      </c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</row>
    <row r="57">
      <c r="A57" s="116">
        <v>46208.0</v>
      </c>
      <c r="B57" s="132"/>
      <c r="C57" s="78" t="s">
        <v>135</v>
      </c>
      <c r="D57" s="95"/>
      <c r="E57" s="78" t="s">
        <v>504</v>
      </c>
      <c r="F57" s="95"/>
      <c r="G57" s="95"/>
      <c r="H57" s="126"/>
      <c r="I57" s="127"/>
      <c r="J57" s="128"/>
      <c r="K57" s="129"/>
      <c r="L57" s="130"/>
      <c r="M57" s="124">
        <f t="shared" si="3"/>
        <v>0</v>
      </c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</row>
    <row r="58">
      <c r="A58" s="142"/>
      <c r="B58" s="136"/>
      <c r="C58" s="135"/>
      <c r="D58" s="135"/>
      <c r="E58" s="137"/>
      <c r="F58" s="135"/>
      <c r="G58" s="135"/>
      <c r="H58" s="135"/>
      <c r="I58" s="135"/>
      <c r="J58" s="135"/>
      <c r="K58" s="135"/>
      <c r="L58" s="135"/>
      <c r="M58" s="138">
        <f t="shared" si="3"/>
        <v>0</v>
      </c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</row>
    <row r="59">
      <c r="A59" s="116">
        <v>46239.0</v>
      </c>
      <c r="B59" s="117" t="s">
        <v>20</v>
      </c>
      <c r="C59" s="78" t="s">
        <v>546</v>
      </c>
      <c r="D59" s="95"/>
      <c r="E59" s="78" t="s">
        <v>504</v>
      </c>
      <c r="F59" s="78">
        <v>62.0</v>
      </c>
      <c r="G59" s="78">
        <v>75.0</v>
      </c>
      <c r="H59" s="119"/>
      <c r="I59" s="127"/>
      <c r="J59" s="128"/>
      <c r="K59" s="122">
        <v>11.0</v>
      </c>
      <c r="L59" s="130"/>
      <c r="M59" s="124">
        <f t="shared" si="3"/>
        <v>148</v>
      </c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</row>
    <row r="60">
      <c r="A60" s="116">
        <v>46239.0</v>
      </c>
      <c r="B60" s="125" t="s">
        <v>157</v>
      </c>
      <c r="C60" s="78" t="s">
        <v>547</v>
      </c>
      <c r="D60" s="95"/>
      <c r="E60" s="78" t="s">
        <v>504</v>
      </c>
      <c r="F60" s="95"/>
      <c r="G60" s="95"/>
      <c r="H60" s="126"/>
      <c r="I60" s="127"/>
      <c r="J60" s="128"/>
      <c r="K60" s="129"/>
      <c r="L60" s="130"/>
      <c r="M60" s="124">
        <f t="shared" si="3"/>
        <v>0</v>
      </c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</row>
    <row r="61">
      <c r="A61" s="116">
        <v>46239.0</v>
      </c>
      <c r="B61" s="131"/>
      <c r="C61" s="78" t="s">
        <v>548</v>
      </c>
      <c r="D61" s="95"/>
      <c r="E61" s="78" t="s">
        <v>504</v>
      </c>
      <c r="F61" s="95"/>
      <c r="G61" s="95"/>
      <c r="H61" s="126"/>
      <c r="I61" s="127"/>
      <c r="J61" s="128"/>
      <c r="K61" s="129"/>
      <c r="L61" s="130"/>
      <c r="M61" s="124">
        <f t="shared" si="3"/>
        <v>0</v>
      </c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</row>
    <row r="62">
      <c r="A62" s="116">
        <v>46239.0</v>
      </c>
      <c r="B62" s="131"/>
      <c r="C62" s="78" t="s">
        <v>549</v>
      </c>
      <c r="D62" s="95"/>
      <c r="E62" s="78" t="s">
        <v>504</v>
      </c>
      <c r="F62" s="95"/>
      <c r="G62" s="95"/>
      <c r="H62" s="126"/>
      <c r="I62" s="127"/>
      <c r="J62" s="128"/>
      <c r="K62" s="129"/>
      <c r="L62" s="130"/>
      <c r="M62" s="124">
        <f t="shared" si="3"/>
        <v>0</v>
      </c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</row>
    <row r="63">
      <c r="A63" s="116">
        <v>46239.0</v>
      </c>
      <c r="B63" s="131"/>
      <c r="C63" s="78" t="s">
        <v>550</v>
      </c>
      <c r="D63" s="95"/>
      <c r="E63" s="78" t="s">
        <v>504</v>
      </c>
      <c r="F63" s="95"/>
      <c r="G63" s="95"/>
      <c r="H63" s="126"/>
      <c r="I63" s="127"/>
      <c r="J63" s="128"/>
      <c r="K63" s="129"/>
      <c r="L63" s="130"/>
      <c r="M63" s="124">
        <f t="shared" si="3"/>
        <v>0</v>
      </c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</row>
    <row r="64">
      <c r="A64" s="116">
        <v>46239.0</v>
      </c>
      <c r="B64" s="131"/>
      <c r="C64" s="78" t="s">
        <v>509</v>
      </c>
      <c r="D64" s="95"/>
      <c r="E64" s="78" t="s">
        <v>504</v>
      </c>
      <c r="F64" s="95"/>
      <c r="G64" s="95"/>
      <c r="H64" s="126"/>
      <c r="I64" s="127"/>
      <c r="J64" s="128"/>
      <c r="K64" s="129"/>
      <c r="L64" s="130"/>
      <c r="M64" s="124">
        <f t="shared" si="3"/>
        <v>0</v>
      </c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</row>
    <row r="65">
      <c r="A65" s="116">
        <v>46239.0</v>
      </c>
      <c r="B65" s="132"/>
      <c r="C65" s="78" t="s">
        <v>135</v>
      </c>
      <c r="D65" s="95"/>
      <c r="E65" s="78" t="s">
        <v>504</v>
      </c>
      <c r="F65" s="78">
        <v>62.0</v>
      </c>
      <c r="G65" s="78">
        <v>75.0</v>
      </c>
      <c r="H65" s="119">
        <v>4.0</v>
      </c>
      <c r="I65" s="120"/>
      <c r="J65" s="128"/>
      <c r="K65" s="122">
        <v>11.0</v>
      </c>
      <c r="L65" s="130"/>
      <c r="M65" s="124">
        <f t="shared" si="3"/>
        <v>148</v>
      </c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</row>
    <row r="66">
      <c r="A66" s="116">
        <v>46239.0</v>
      </c>
      <c r="B66" s="144" t="s">
        <v>551</v>
      </c>
      <c r="C66" s="145" t="s">
        <v>552</v>
      </c>
      <c r="D66" s="146"/>
      <c r="E66" s="145" t="s">
        <v>508</v>
      </c>
      <c r="F66" s="146"/>
      <c r="G66" s="146"/>
      <c r="H66" s="146"/>
      <c r="I66" s="146"/>
      <c r="J66" s="146"/>
      <c r="K66" s="146"/>
      <c r="L66" s="145">
        <v>110.0</v>
      </c>
      <c r="M66" s="147">
        <f t="shared" si="3"/>
        <v>110</v>
      </c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</row>
    <row r="67">
      <c r="A67" s="116">
        <v>46239.0</v>
      </c>
      <c r="B67" s="131"/>
      <c r="C67" s="145" t="s">
        <v>553</v>
      </c>
      <c r="D67" s="146"/>
      <c r="E67" s="145" t="s">
        <v>504</v>
      </c>
      <c r="F67" s="146"/>
      <c r="G67" s="146"/>
      <c r="H67" s="146"/>
      <c r="I67" s="146"/>
      <c r="J67" s="146"/>
      <c r="K67" s="146"/>
      <c r="L67" s="146"/>
      <c r="M67" s="147">
        <f t="shared" si="3"/>
        <v>0</v>
      </c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</row>
    <row r="68">
      <c r="A68" s="116">
        <v>46239.0</v>
      </c>
      <c r="B68" s="132"/>
      <c r="C68" s="145" t="s">
        <v>554</v>
      </c>
      <c r="D68" s="146"/>
      <c r="E68" s="145" t="s">
        <v>504</v>
      </c>
      <c r="F68" s="146"/>
      <c r="G68" s="146"/>
      <c r="H68" s="146"/>
      <c r="I68" s="146"/>
      <c r="J68" s="146"/>
      <c r="K68" s="146"/>
      <c r="L68" s="146"/>
      <c r="M68" s="147">
        <f t="shared" si="3"/>
        <v>0</v>
      </c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</row>
    <row r="69">
      <c r="A69" s="116">
        <v>46239.0</v>
      </c>
      <c r="B69" s="117" t="s">
        <v>151</v>
      </c>
      <c r="C69" s="78" t="s">
        <v>555</v>
      </c>
      <c r="D69" s="95"/>
      <c r="E69" s="78" t="s">
        <v>508</v>
      </c>
      <c r="F69" s="78">
        <v>62.0</v>
      </c>
      <c r="G69" s="78">
        <v>75.0</v>
      </c>
      <c r="H69" s="126"/>
      <c r="I69" s="127"/>
      <c r="J69" s="128"/>
      <c r="K69" s="122">
        <v>11.0</v>
      </c>
      <c r="L69" s="130"/>
      <c r="M69" s="124">
        <f t="shared" si="3"/>
        <v>148</v>
      </c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</row>
    <row r="70">
      <c r="A70" s="116">
        <v>46239.0</v>
      </c>
      <c r="B70" s="141" t="s">
        <v>155</v>
      </c>
      <c r="C70" s="78" t="s">
        <v>556</v>
      </c>
      <c r="D70" s="95"/>
      <c r="E70" s="78" t="s">
        <v>504</v>
      </c>
      <c r="F70" s="95"/>
      <c r="G70" s="95"/>
      <c r="H70" s="126"/>
      <c r="I70" s="127"/>
      <c r="J70" s="128"/>
      <c r="K70" s="129"/>
      <c r="L70" s="130"/>
      <c r="M70" s="124">
        <f t="shared" si="3"/>
        <v>0</v>
      </c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</row>
    <row r="71">
      <c r="A71" s="116">
        <v>46239.0</v>
      </c>
      <c r="B71" s="131"/>
      <c r="C71" s="78" t="s">
        <v>557</v>
      </c>
      <c r="D71" s="95"/>
      <c r="E71" s="78" t="s">
        <v>504</v>
      </c>
      <c r="F71" s="95"/>
      <c r="G71" s="95"/>
      <c r="H71" s="126"/>
      <c r="I71" s="127"/>
      <c r="J71" s="128"/>
      <c r="K71" s="129"/>
      <c r="L71" s="130"/>
      <c r="M71" s="124">
        <f t="shared" si="3"/>
        <v>0</v>
      </c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</row>
    <row r="72">
      <c r="A72" s="116">
        <v>46239.0</v>
      </c>
      <c r="B72" s="132"/>
      <c r="C72" s="78" t="s">
        <v>558</v>
      </c>
      <c r="D72" s="95"/>
      <c r="E72" s="78" t="s">
        <v>504</v>
      </c>
      <c r="F72" s="78">
        <v>62.0</v>
      </c>
      <c r="G72" s="78">
        <v>75.0</v>
      </c>
      <c r="H72" s="126"/>
      <c r="I72" s="127"/>
      <c r="J72" s="128"/>
      <c r="K72" s="122">
        <v>5.0</v>
      </c>
      <c r="L72" s="130"/>
      <c r="M72" s="124">
        <f t="shared" si="3"/>
        <v>142</v>
      </c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</row>
    <row r="73">
      <c r="A73" s="135"/>
      <c r="B73" s="136"/>
      <c r="C73" s="135"/>
      <c r="D73" s="135"/>
      <c r="E73" s="137"/>
      <c r="F73" s="135"/>
      <c r="G73" s="135"/>
      <c r="H73" s="135"/>
      <c r="I73" s="135"/>
      <c r="J73" s="135"/>
      <c r="K73" s="135"/>
      <c r="L73" s="135"/>
      <c r="M73" s="138">
        <f t="shared" si="3"/>
        <v>0</v>
      </c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</row>
    <row r="74">
      <c r="A74" s="78" t="s">
        <v>559</v>
      </c>
      <c r="B74" s="148" t="s">
        <v>20</v>
      </c>
      <c r="C74" s="149" t="s">
        <v>560</v>
      </c>
      <c r="D74" s="95"/>
      <c r="E74" s="78" t="s">
        <v>504</v>
      </c>
      <c r="F74" s="78"/>
      <c r="G74" s="78">
        <v>65.0</v>
      </c>
      <c r="H74" s="126"/>
      <c r="I74" s="127"/>
      <c r="J74" s="128"/>
      <c r="K74" s="122">
        <v>11.0</v>
      </c>
      <c r="L74" s="123">
        <v>2.0</v>
      </c>
      <c r="M74" s="124">
        <f t="shared" si="3"/>
        <v>78</v>
      </c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</row>
    <row r="75">
      <c r="A75" s="78" t="s">
        <v>559</v>
      </c>
      <c r="B75" s="132"/>
      <c r="C75" s="150" t="s">
        <v>561</v>
      </c>
      <c r="D75" s="95"/>
      <c r="E75" s="78" t="s">
        <v>504</v>
      </c>
      <c r="F75" s="78">
        <v>59.0</v>
      </c>
      <c r="G75" s="95"/>
      <c r="H75" s="126"/>
      <c r="I75" s="127"/>
      <c r="J75" s="128"/>
      <c r="K75" s="129"/>
      <c r="L75" s="130"/>
      <c r="M75" s="124">
        <f t="shared" si="3"/>
        <v>59</v>
      </c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</row>
    <row r="76">
      <c r="A76" s="78" t="s">
        <v>559</v>
      </c>
      <c r="B76" s="125" t="s">
        <v>157</v>
      </c>
      <c r="C76" s="78" t="s">
        <v>562</v>
      </c>
      <c r="D76" s="95"/>
      <c r="E76" s="78" t="s">
        <v>504</v>
      </c>
      <c r="F76" s="95"/>
      <c r="G76" s="95"/>
      <c r="H76" s="126"/>
      <c r="I76" s="127"/>
      <c r="J76" s="128"/>
      <c r="K76" s="129"/>
      <c r="L76" s="130"/>
      <c r="M76" s="124">
        <f t="shared" si="3"/>
        <v>0</v>
      </c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</row>
    <row r="77">
      <c r="A77" s="78" t="s">
        <v>559</v>
      </c>
      <c r="B77" s="131"/>
      <c r="C77" s="78" t="s">
        <v>563</v>
      </c>
      <c r="D77" s="95"/>
      <c r="E77" s="78" t="s">
        <v>504</v>
      </c>
      <c r="F77" s="95"/>
      <c r="G77" s="95"/>
      <c r="H77" s="126"/>
      <c r="I77" s="127"/>
      <c r="J77" s="128"/>
      <c r="K77" s="129"/>
      <c r="L77" s="130"/>
      <c r="M77" s="124">
        <f t="shared" si="3"/>
        <v>0</v>
      </c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</row>
    <row r="78">
      <c r="A78" s="78" t="s">
        <v>559</v>
      </c>
      <c r="B78" s="132"/>
      <c r="C78" s="78" t="s">
        <v>564</v>
      </c>
      <c r="D78" s="95"/>
      <c r="E78" s="78" t="s">
        <v>504</v>
      </c>
      <c r="F78" s="78">
        <v>59.0</v>
      </c>
      <c r="G78" s="78">
        <v>65.0</v>
      </c>
      <c r="H78" s="126"/>
      <c r="I78" s="127"/>
      <c r="J78" s="128"/>
      <c r="K78" s="129"/>
      <c r="L78" s="130"/>
      <c r="M78" s="124">
        <f t="shared" si="3"/>
        <v>124</v>
      </c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</row>
    <row r="79">
      <c r="A79" s="78" t="s">
        <v>559</v>
      </c>
      <c r="B79" s="117" t="s">
        <v>151</v>
      </c>
      <c r="C79" s="78" t="s">
        <v>565</v>
      </c>
      <c r="D79" s="95"/>
      <c r="E79" s="78" t="s">
        <v>504</v>
      </c>
      <c r="F79" s="78">
        <v>59.0</v>
      </c>
      <c r="G79" s="78">
        <v>70.0</v>
      </c>
      <c r="H79" s="126"/>
      <c r="I79" s="127"/>
      <c r="J79" s="128"/>
      <c r="K79" s="122">
        <v>7.0</v>
      </c>
      <c r="L79" s="130"/>
      <c r="M79" s="124">
        <f t="shared" si="3"/>
        <v>136</v>
      </c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</row>
    <row r="80">
      <c r="A80" s="78" t="s">
        <v>559</v>
      </c>
      <c r="B80" s="141" t="s">
        <v>155</v>
      </c>
      <c r="C80" s="78" t="s">
        <v>566</v>
      </c>
      <c r="D80" s="95"/>
      <c r="E80" s="78" t="s">
        <v>504</v>
      </c>
      <c r="F80" s="78">
        <v>59.0</v>
      </c>
      <c r="G80" s="78">
        <v>70.0</v>
      </c>
      <c r="H80" s="126"/>
      <c r="I80" s="127"/>
      <c r="J80" s="128"/>
      <c r="K80" s="122">
        <v>7.0</v>
      </c>
      <c r="L80" s="130"/>
      <c r="M80" s="124">
        <f t="shared" si="3"/>
        <v>136</v>
      </c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</row>
    <row r="81">
      <c r="A81" s="78" t="s">
        <v>559</v>
      </c>
      <c r="B81" s="132"/>
      <c r="C81" s="78" t="s">
        <v>567</v>
      </c>
      <c r="D81" s="95"/>
      <c r="E81" s="78" t="s">
        <v>504</v>
      </c>
      <c r="F81" s="95"/>
      <c r="G81" s="95"/>
      <c r="H81" s="126"/>
      <c r="I81" s="127"/>
      <c r="J81" s="128"/>
      <c r="K81" s="129"/>
      <c r="L81" s="130"/>
      <c r="M81" s="124">
        <f t="shared" si="3"/>
        <v>0</v>
      </c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</row>
    <row r="82">
      <c r="A82" s="142"/>
      <c r="B82" s="151"/>
      <c r="C82" s="137"/>
      <c r="D82" s="135"/>
      <c r="E82" s="137"/>
      <c r="F82" s="135"/>
      <c r="G82" s="135"/>
      <c r="H82" s="135"/>
      <c r="I82" s="135"/>
      <c r="J82" s="135"/>
      <c r="K82" s="135"/>
      <c r="L82" s="135"/>
      <c r="M82" s="138">
        <f t="shared" si="3"/>
        <v>0</v>
      </c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</row>
    <row r="83">
      <c r="A83" s="116">
        <v>46300.0</v>
      </c>
      <c r="B83" s="152" t="s">
        <v>20</v>
      </c>
      <c r="C83" s="149" t="s">
        <v>568</v>
      </c>
      <c r="D83" s="95"/>
      <c r="E83" s="78" t="s">
        <v>504</v>
      </c>
      <c r="F83" s="78">
        <v>60.0</v>
      </c>
      <c r="G83" s="78">
        <v>70.0</v>
      </c>
      <c r="H83" s="126"/>
      <c r="I83" s="127"/>
      <c r="J83" s="128"/>
      <c r="K83" s="122">
        <v>11.0</v>
      </c>
      <c r="L83" s="130"/>
      <c r="M83" s="124">
        <f t="shared" si="3"/>
        <v>141</v>
      </c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</row>
    <row r="84">
      <c r="A84" s="116">
        <v>46300.0</v>
      </c>
      <c r="B84" s="132"/>
      <c r="C84" s="150" t="s">
        <v>569</v>
      </c>
      <c r="D84" s="95"/>
      <c r="E84" s="78" t="s">
        <v>504</v>
      </c>
      <c r="F84" s="95"/>
      <c r="G84" s="95"/>
      <c r="H84" s="126"/>
      <c r="I84" s="127"/>
      <c r="J84" s="128"/>
      <c r="K84" s="129"/>
      <c r="L84" s="130"/>
      <c r="M84" s="124">
        <f t="shared" si="3"/>
        <v>0</v>
      </c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</row>
    <row r="85">
      <c r="A85" s="116">
        <v>46300.0</v>
      </c>
      <c r="B85" s="125" t="s">
        <v>157</v>
      </c>
      <c r="C85" s="78" t="s">
        <v>552</v>
      </c>
      <c r="D85" s="95"/>
      <c r="E85" s="78" t="s">
        <v>504</v>
      </c>
      <c r="F85" s="95"/>
      <c r="G85" s="95"/>
      <c r="H85" s="126"/>
      <c r="I85" s="127"/>
      <c r="J85" s="128"/>
      <c r="K85" s="129"/>
      <c r="L85" s="130"/>
      <c r="M85" s="124">
        <f t="shared" si="3"/>
        <v>0</v>
      </c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</row>
    <row r="86">
      <c r="A86" s="116">
        <v>46300.0</v>
      </c>
      <c r="B86" s="131"/>
      <c r="C86" s="133" t="s">
        <v>570</v>
      </c>
      <c r="D86" s="95"/>
      <c r="E86" s="78" t="s">
        <v>504</v>
      </c>
      <c r="F86" s="78">
        <v>56.0</v>
      </c>
      <c r="G86" s="78">
        <v>60.0</v>
      </c>
      <c r="H86" s="126"/>
      <c r="I86" s="127"/>
      <c r="J86" s="128"/>
      <c r="K86" s="122">
        <v>11.0</v>
      </c>
      <c r="L86" s="130"/>
      <c r="M86" s="124">
        <f t="shared" si="3"/>
        <v>127</v>
      </c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</row>
    <row r="87">
      <c r="A87" s="116">
        <v>46300.0</v>
      </c>
      <c r="B87" s="131"/>
      <c r="C87" s="78" t="s">
        <v>571</v>
      </c>
      <c r="D87" s="95"/>
      <c r="E87" s="78" t="s">
        <v>504</v>
      </c>
      <c r="F87" s="78">
        <v>4.0</v>
      </c>
      <c r="G87" s="78">
        <v>10.0</v>
      </c>
      <c r="H87" s="126"/>
      <c r="I87" s="127"/>
      <c r="J87" s="128"/>
      <c r="K87" s="129"/>
      <c r="L87" s="130"/>
      <c r="M87" s="124">
        <f t="shared" si="3"/>
        <v>14</v>
      </c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</row>
    <row r="88">
      <c r="A88" s="116">
        <v>46300.0</v>
      </c>
      <c r="B88" s="132"/>
      <c r="C88" s="78" t="s">
        <v>572</v>
      </c>
      <c r="D88" s="95"/>
      <c r="E88" s="78" t="s">
        <v>504</v>
      </c>
      <c r="F88" s="95"/>
      <c r="G88" s="95"/>
      <c r="H88" s="126"/>
      <c r="I88" s="127"/>
      <c r="J88" s="128"/>
      <c r="K88" s="129"/>
      <c r="L88" s="130"/>
      <c r="M88" s="124">
        <f t="shared" si="3"/>
        <v>0</v>
      </c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</row>
    <row r="89">
      <c r="A89" s="116">
        <v>46300.0</v>
      </c>
      <c r="B89" s="117" t="s">
        <v>151</v>
      </c>
      <c r="C89" s="78" t="s">
        <v>573</v>
      </c>
      <c r="D89" s="95"/>
      <c r="E89" s="78" t="s">
        <v>504</v>
      </c>
      <c r="F89" s="78">
        <v>67.0</v>
      </c>
      <c r="G89" s="78">
        <v>80.0</v>
      </c>
      <c r="H89" s="126"/>
      <c r="I89" s="127"/>
      <c r="J89" s="128"/>
      <c r="K89" s="122">
        <v>11.0</v>
      </c>
      <c r="L89" s="130"/>
      <c r="M89" s="124">
        <f t="shared" si="3"/>
        <v>158</v>
      </c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</row>
    <row r="90">
      <c r="A90" s="116">
        <v>46300.0</v>
      </c>
      <c r="B90" s="141" t="s">
        <v>155</v>
      </c>
      <c r="C90" s="78" t="s">
        <v>574</v>
      </c>
      <c r="D90" s="95"/>
      <c r="E90" s="78" t="s">
        <v>504</v>
      </c>
      <c r="F90" s="95"/>
      <c r="G90" s="95"/>
      <c r="H90" s="126"/>
      <c r="I90" s="127"/>
      <c r="J90" s="128"/>
      <c r="K90" s="129"/>
      <c r="L90" s="130"/>
      <c r="M90" s="124">
        <f t="shared" si="3"/>
        <v>0</v>
      </c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</row>
    <row r="91">
      <c r="A91" s="116">
        <v>46300.0</v>
      </c>
      <c r="B91" s="131"/>
      <c r="C91" s="78" t="s">
        <v>93</v>
      </c>
      <c r="D91" s="95"/>
      <c r="E91" s="78" t="s">
        <v>504</v>
      </c>
      <c r="F91" s="95"/>
      <c r="G91" s="95"/>
      <c r="H91" s="126"/>
      <c r="I91" s="127"/>
      <c r="J91" s="128"/>
      <c r="K91" s="129"/>
      <c r="L91" s="130"/>
      <c r="M91" s="124">
        <f t="shared" si="3"/>
        <v>0</v>
      </c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</row>
    <row r="92">
      <c r="A92" s="116">
        <v>46300.0</v>
      </c>
      <c r="B92" s="131"/>
      <c r="C92" s="78" t="s">
        <v>575</v>
      </c>
      <c r="D92" s="95"/>
      <c r="E92" s="78" t="s">
        <v>504</v>
      </c>
      <c r="F92" s="95"/>
      <c r="G92" s="95"/>
      <c r="H92" s="126"/>
      <c r="I92" s="127"/>
      <c r="J92" s="128"/>
      <c r="K92" s="129"/>
      <c r="L92" s="130"/>
      <c r="M92" s="124">
        <f t="shared" si="3"/>
        <v>0</v>
      </c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</row>
    <row r="93">
      <c r="A93" s="116">
        <v>46300.0</v>
      </c>
      <c r="B93" s="131"/>
      <c r="C93" s="78" t="s">
        <v>509</v>
      </c>
      <c r="D93" s="95"/>
      <c r="E93" s="78" t="s">
        <v>504</v>
      </c>
      <c r="F93" s="95"/>
      <c r="G93" s="95"/>
      <c r="H93" s="126"/>
      <c r="I93" s="127"/>
      <c r="J93" s="128"/>
      <c r="K93" s="129"/>
      <c r="L93" s="130"/>
      <c r="M93" s="124">
        <f t="shared" si="3"/>
        <v>0</v>
      </c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</row>
    <row r="94">
      <c r="A94" s="116">
        <v>46300.0</v>
      </c>
      <c r="B94" s="132"/>
      <c r="C94" s="78" t="s">
        <v>135</v>
      </c>
      <c r="D94" s="95"/>
      <c r="E94" s="78" t="s">
        <v>504</v>
      </c>
      <c r="F94" s="95"/>
      <c r="G94" s="95"/>
      <c r="H94" s="126"/>
      <c r="I94" s="127"/>
      <c r="J94" s="128"/>
      <c r="K94" s="129"/>
      <c r="L94" s="130"/>
      <c r="M94" s="124">
        <f t="shared" si="3"/>
        <v>0</v>
      </c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</row>
    <row r="95">
      <c r="A95" s="95"/>
      <c r="B95" s="153"/>
      <c r="C95" s="95"/>
      <c r="D95" s="95"/>
      <c r="E95" s="95"/>
      <c r="F95" s="95"/>
      <c r="G95" s="95"/>
      <c r="H95" s="126"/>
      <c r="I95" s="127"/>
      <c r="J95" s="128"/>
      <c r="K95" s="129"/>
      <c r="L95" s="130"/>
      <c r="M95" s="124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</row>
    <row r="96">
      <c r="A96" s="100"/>
      <c r="B96" s="154"/>
      <c r="C96" s="100"/>
      <c r="D96" s="100"/>
      <c r="E96" s="100"/>
      <c r="F96" s="100"/>
      <c r="G96" s="100"/>
      <c r="H96" s="155"/>
      <c r="I96" s="156"/>
      <c r="J96" s="157"/>
      <c r="K96" s="158"/>
      <c r="L96" s="159"/>
      <c r="M96" s="16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</row>
    <row r="97">
      <c r="A97" s="100"/>
      <c r="B97" s="154"/>
      <c r="C97" s="100"/>
      <c r="D97" s="100"/>
      <c r="E97" s="100"/>
      <c r="F97" s="100"/>
      <c r="G97" s="100"/>
      <c r="H97" s="155"/>
      <c r="I97" s="156"/>
      <c r="J97" s="157"/>
      <c r="K97" s="158"/>
      <c r="L97" s="159"/>
      <c r="M97" s="16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</row>
    <row r="98">
      <c r="A98" s="100"/>
      <c r="B98" s="154"/>
      <c r="C98" s="100"/>
      <c r="D98" s="100"/>
      <c r="E98" s="100"/>
      <c r="F98" s="100"/>
      <c r="G98" s="100"/>
      <c r="H98" s="155"/>
      <c r="I98" s="156"/>
      <c r="J98" s="157"/>
      <c r="K98" s="158"/>
      <c r="L98" s="159"/>
      <c r="M98" s="16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</row>
    <row r="99">
      <c r="A99" s="100"/>
      <c r="B99" s="154"/>
      <c r="C99" s="100"/>
      <c r="D99" s="100"/>
      <c r="E99" s="100"/>
      <c r="F99" s="100"/>
      <c r="G99" s="100"/>
      <c r="H99" s="155"/>
      <c r="I99" s="156"/>
      <c r="J99" s="157"/>
      <c r="K99" s="158"/>
      <c r="L99" s="159"/>
      <c r="M99" s="16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</row>
    <row r="100">
      <c r="A100" s="100"/>
      <c r="B100" s="154"/>
      <c r="C100" s="100"/>
      <c r="D100" s="100"/>
      <c r="E100" s="100"/>
      <c r="F100" s="100"/>
      <c r="G100" s="100"/>
      <c r="H100" s="155"/>
      <c r="I100" s="156"/>
      <c r="J100" s="157"/>
      <c r="K100" s="158"/>
      <c r="L100" s="159"/>
      <c r="M100" s="16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</row>
    <row r="101">
      <c r="A101" s="100"/>
      <c r="B101" s="154"/>
      <c r="C101" s="100"/>
      <c r="D101" s="100"/>
      <c r="E101" s="100"/>
      <c r="F101" s="100"/>
      <c r="G101" s="100"/>
      <c r="H101" s="155"/>
      <c r="I101" s="156"/>
      <c r="J101" s="157"/>
      <c r="K101" s="158"/>
      <c r="L101" s="159"/>
      <c r="M101" s="16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</row>
    <row r="102">
      <c r="A102" s="100"/>
      <c r="B102" s="154"/>
      <c r="C102" s="100"/>
      <c r="D102" s="100"/>
      <c r="E102" s="100"/>
      <c r="F102" s="100"/>
      <c r="G102" s="100"/>
      <c r="H102" s="155"/>
      <c r="I102" s="156"/>
      <c r="J102" s="157"/>
      <c r="K102" s="158"/>
      <c r="L102" s="159"/>
      <c r="M102" s="16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</row>
    <row r="103">
      <c r="A103" s="100"/>
      <c r="B103" s="154"/>
      <c r="C103" s="100"/>
      <c r="D103" s="100"/>
      <c r="E103" s="100"/>
      <c r="F103" s="100"/>
      <c r="G103" s="100"/>
      <c r="H103" s="155"/>
      <c r="I103" s="156"/>
      <c r="J103" s="157"/>
      <c r="K103" s="158"/>
      <c r="L103" s="159"/>
      <c r="M103" s="16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</row>
    <row r="104">
      <c r="A104" s="100"/>
      <c r="B104" s="154"/>
      <c r="C104" s="100"/>
      <c r="D104" s="100"/>
      <c r="E104" s="100"/>
      <c r="F104" s="100"/>
      <c r="G104" s="100"/>
      <c r="H104" s="155"/>
      <c r="I104" s="156"/>
      <c r="J104" s="157"/>
      <c r="K104" s="158"/>
      <c r="L104" s="159"/>
      <c r="M104" s="16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</row>
    <row r="105">
      <c r="A105" s="100"/>
      <c r="B105" s="154"/>
      <c r="C105" s="100"/>
      <c r="D105" s="100"/>
      <c r="E105" s="100"/>
      <c r="F105" s="100"/>
      <c r="G105" s="100"/>
      <c r="H105" s="155"/>
      <c r="I105" s="156"/>
      <c r="J105" s="157"/>
      <c r="K105" s="158"/>
      <c r="L105" s="159"/>
      <c r="M105" s="16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</row>
    <row r="106">
      <c r="A106" s="100"/>
      <c r="B106" s="154"/>
      <c r="C106" s="100"/>
      <c r="D106" s="100"/>
      <c r="E106" s="100"/>
      <c r="F106" s="100"/>
      <c r="G106" s="100"/>
      <c r="H106" s="155"/>
      <c r="I106" s="156"/>
      <c r="J106" s="157"/>
      <c r="K106" s="158"/>
      <c r="L106" s="159"/>
      <c r="M106" s="16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</row>
    <row r="107">
      <c r="A107" s="100"/>
      <c r="B107" s="154"/>
      <c r="C107" s="100"/>
      <c r="D107" s="100"/>
      <c r="E107" s="100"/>
      <c r="F107" s="100"/>
      <c r="G107" s="100"/>
      <c r="H107" s="155"/>
      <c r="I107" s="156"/>
      <c r="J107" s="157"/>
      <c r="K107" s="158"/>
      <c r="L107" s="159"/>
      <c r="M107" s="16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</row>
    <row r="108">
      <c r="A108" s="100"/>
      <c r="B108" s="154"/>
      <c r="C108" s="100"/>
      <c r="D108" s="100"/>
      <c r="E108" s="100"/>
      <c r="F108" s="100"/>
      <c r="G108" s="100"/>
      <c r="H108" s="155"/>
      <c r="I108" s="156"/>
      <c r="J108" s="157"/>
      <c r="K108" s="158"/>
      <c r="L108" s="159"/>
      <c r="M108" s="16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</row>
    <row r="109">
      <c r="A109" s="100"/>
      <c r="B109" s="154"/>
      <c r="C109" s="100"/>
      <c r="D109" s="100"/>
      <c r="E109" s="100"/>
      <c r="F109" s="100"/>
      <c r="G109" s="100"/>
      <c r="H109" s="155"/>
      <c r="I109" s="156"/>
      <c r="J109" s="157"/>
      <c r="K109" s="158"/>
      <c r="L109" s="159"/>
      <c r="M109" s="16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</row>
    <row r="110">
      <c r="A110" s="100"/>
      <c r="B110" s="154"/>
      <c r="C110" s="100"/>
      <c r="D110" s="100"/>
      <c r="E110" s="100"/>
      <c r="F110" s="100"/>
      <c r="G110" s="100"/>
      <c r="H110" s="155"/>
      <c r="I110" s="156"/>
      <c r="J110" s="157"/>
      <c r="K110" s="158"/>
      <c r="L110" s="159"/>
      <c r="M110" s="16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</row>
    <row r="111">
      <c r="A111" s="100"/>
      <c r="B111" s="154"/>
      <c r="C111" s="100"/>
      <c r="D111" s="100"/>
      <c r="E111" s="100"/>
      <c r="F111" s="100"/>
      <c r="G111" s="100"/>
      <c r="H111" s="155"/>
      <c r="I111" s="156"/>
      <c r="J111" s="157"/>
      <c r="K111" s="158"/>
      <c r="L111" s="159"/>
      <c r="M111" s="16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</row>
    <row r="112">
      <c r="A112" s="100"/>
      <c r="B112" s="154"/>
      <c r="C112" s="100"/>
      <c r="D112" s="100"/>
      <c r="E112" s="100"/>
      <c r="F112" s="100"/>
      <c r="G112" s="100"/>
      <c r="H112" s="155"/>
      <c r="I112" s="156"/>
      <c r="J112" s="157"/>
      <c r="K112" s="158"/>
      <c r="L112" s="159"/>
      <c r="M112" s="16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</row>
    <row r="113">
      <c r="A113" s="100"/>
      <c r="B113" s="154"/>
      <c r="C113" s="100"/>
      <c r="D113" s="100"/>
      <c r="E113" s="100"/>
      <c r="F113" s="100"/>
      <c r="G113" s="100"/>
      <c r="H113" s="155"/>
      <c r="I113" s="156"/>
      <c r="J113" s="157"/>
      <c r="K113" s="158"/>
      <c r="L113" s="159"/>
      <c r="M113" s="16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</row>
    <row r="114">
      <c r="A114" s="100"/>
      <c r="B114" s="154"/>
      <c r="C114" s="100"/>
      <c r="D114" s="100"/>
      <c r="E114" s="100"/>
      <c r="F114" s="100"/>
      <c r="G114" s="100"/>
      <c r="H114" s="155"/>
      <c r="I114" s="156"/>
      <c r="J114" s="157"/>
      <c r="K114" s="158"/>
      <c r="L114" s="159"/>
      <c r="M114" s="16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</row>
    <row r="115">
      <c r="A115" s="100"/>
      <c r="B115" s="154"/>
      <c r="C115" s="100"/>
      <c r="D115" s="100"/>
      <c r="E115" s="100"/>
      <c r="F115" s="100"/>
      <c r="G115" s="100"/>
      <c r="H115" s="155"/>
      <c r="I115" s="156"/>
      <c r="J115" s="157"/>
      <c r="K115" s="158"/>
      <c r="L115" s="159"/>
      <c r="M115" s="16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</row>
    <row r="116">
      <c r="A116" s="100"/>
      <c r="B116" s="154"/>
      <c r="C116" s="100"/>
      <c r="D116" s="100"/>
      <c r="E116" s="100"/>
      <c r="F116" s="100"/>
      <c r="G116" s="100"/>
      <c r="H116" s="155"/>
      <c r="I116" s="156"/>
      <c r="J116" s="157"/>
      <c r="K116" s="158"/>
      <c r="L116" s="159"/>
      <c r="M116" s="16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</row>
    <row r="117">
      <c r="A117" s="100"/>
      <c r="B117" s="154"/>
      <c r="C117" s="100"/>
      <c r="D117" s="100"/>
      <c r="E117" s="100"/>
      <c r="F117" s="100"/>
      <c r="G117" s="100"/>
      <c r="H117" s="155"/>
      <c r="I117" s="156"/>
      <c r="J117" s="157"/>
      <c r="K117" s="158"/>
      <c r="L117" s="159"/>
      <c r="M117" s="16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</row>
    <row r="118">
      <c r="A118" s="100"/>
      <c r="B118" s="154"/>
      <c r="C118" s="100"/>
      <c r="D118" s="100"/>
      <c r="E118" s="100"/>
      <c r="F118" s="100"/>
      <c r="G118" s="100"/>
      <c r="H118" s="155"/>
      <c r="I118" s="156"/>
      <c r="J118" s="157"/>
      <c r="K118" s="158"/>
      <c r="L118" s="159"/>
      <c r="M118" s="16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</row>
    <row r="119">
      <c r="A119" s="100"/>
      <c r="B119" s="154"/>
      <c r="C119" s="100"/>
      <c r="D119" s="100"/>
      <c r="E119" s="100"/>
      <c r="F119" s="100"/>
      <c r="G119" s="100"/>
      <c r="H119" s="155"/>
      <c r="I119" s="156"/>
      <c r="J119" s="157"/>
      <c r="K119" s="158"/>
      <c r="L119" s="159"/>
      <c r="M119" s="16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</row>
    <row r="120">
      <c r="A120" s="100"/>
      <c r="B120" s="154"/>
      <c r="C120" s="100"/>
      <c r="D120" s="100"/>
      <c r="E120" s="100"/>
      <c r="F120" s="100"/>
      <c r="G120" s="100"/>
      <c r="H120" s="155"/>
      <c r="I120" s="156"/>
      <c r="J120" s="157"/>
      <c r="K120" s="158"/>
      <c r="L120" s="159"/>
      <c r="M120" s="16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</row>
    <row r="121">
      <c r="A121" s="100"/>
      <c r="B121" s="154"/>
      <c r="C121" s="100"/>
      <c r="D121" s="100"/>
      <c r="E121" s="100"/>
      <c r="F121" s="100"/>
      <c r="G121" s="100"/>
      <c r="H121" s="155"/>
      <c r="I121" s="156"/>
      <c r="J121" s="157"/>
      <c r="K121" s="158"/>
      <c r="L121" s="159"/>
      <c r="M121" s="16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</row>
    <row r="122">
      <c r="A122" s="100"/>
      <c r="B122" s="154"/>
      <c r="C122" s="100"/>
      <c r="D122" s="100"/>
      <c r="E122" s="100"/>
      <c r="F122" s="100"/>
      <c r="G122" s="100"/>
      <c r="H122" s="155"/>
      <c r="I122" s="156"/>
      <c r="J122" s="157"/>
      <c r="K122" s="158"/>
      <c r="L122" s="159"/>
      <c r="M122" s="16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</row>
    <row r="123">
      <c r="A123" s="100"/>
      <c r="B123" s="154"/>
      <c r="C123" s="100"/>
      <c r="D123" s="100"/>
      <c r="E123" s="100"/>
      <c r="F123" s="100"/>
      <c r="G123" s="100"/>
      <c r="H123" s="155"/>
      <c r="I123" s="156"/>
      <c r="J123" s="157"/>
      <c r="K123" s="158"/>
      <c r="L123" s="159"/>
      <c r="M123" s="16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</row>
    <row r="124">
      <c r="A124" s="100"/>
      <c r="B124" s="154"/>
      <c r="C124" s="100"/>
      <c r="D124" s="100"/>
      <c r="E124" s="100"/>
      <c r="F124" s="100"/>
      <c r="G124" s="100"/>
      <c r="H124" s="155"/>
      <c r="I124" s="156"/>
      <c r="J124" s="157"/>
      <c r="K124" s="158"/>
      <c r="L124" s="159"/>
      <c r="M124" s="16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</row>
    <row r="125">
      <c r="A125" s="100"/>
      <c r="B125" s="154"/>
      <c r="C125" s="100"/>
      <c r="D125" s="100"/>
      <c r="E125" s="100"/>
      <c r="F125" s="100"/>
      <c r="G125" s="100"/>
      <c r="H125" s="155"/>
      <c r="I125" s="156"/>
      <c r="J125" s="157"/>
      <c r="K125" s="158"/>
      <c r="L125" s="159"/>
      <c r="M125" s="16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</row>
    <row r="126">
      <c r="A126" s="100"/>
      <c r="B126" s="154"/>
      <c r="C126" s="100"/>
      <c r="D126" s="100"/>
      <c r="E126" s="100"/>
      <c r="F126" s="100"/>
      <c r="G126" s="100"/>
      <c r="H126" s="155"/>
      <c r="I126" s="156"/>
      <c r="J126" s="157"/>
      <c r="K126" s="158"/>
      <c r="L126" s="159"/>
      <c r="M126" s="16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</row>
    <row r="127">
      <c r="A127" s="100"/>
      <c r="B127" s="154"/>
      <c r="C127" s="100"/>
      <c r="D127" s="100"/>
      <c r="E127" s="100"/>
      <c r="F127" s="100"/>
      <c r="G127" s="100"/>
      <c r="H127" s="155"/>
      <c r="I127" s="156"/>
      <c r="J127" s="157"/>
      <c r="K127" s="158"/>
      <c r="L127" s="159"/>
      <c r="M127" s="16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</row>
    <row r="128">
      <c r="A128" s="100"/>
      <c r="B128" s="154"/>
      <c r="C128" s="100"/>
      <c r="D128" s="100"/>
      <c r="E128" s="100"/>
      <c r="F128" s="100"/>
      <c r="G128" s="100"/>
      <c r="H128" s="155"/>
      <c r="I128" s="156"/>
      <c r="J128" s="157"/>
      <c r="K128" s="158"/>
      <c r="L128" s="159"/>
      <c r="M128" s="16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</row>
    <row r="129">
      <c r="A129" s="100"/>
      <c r="B129" s="154"/>
      <c r="C129" s="100"/>
      <c r="D129" s="100"/>
      <c r="E129" s="100"/>
      <c r="F129" s="100"/>
      <c r="G129" s="100"/>
      <c r="H129" s="155"/>
      <c r="I129" s="156"/>
      <c r="J129" s="157"/>
      <c r="K129" s="158"/>
      <c r="L129" s="159"/>
      <c r="M129" s="16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</row>
    <row r="130">
      <c r="A130" s="100"/>
      <c r="B130" s="154"/>
      <c r="C130" s="100"/>
      <c r="D130" s="100"/>
      <c r="E130" s="100"/>
      <c r="F130" s="100"/>
      <c r="G130" s="100"/>
      <c r="H130" s="155"/>
      <c r="I130" s="156"/>
      <c r="J130" s="157"/>
      <c r="K130" s="158"/>
      <c r="L130" s="159"/>
      <c r="M130" s="16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</row>
    <row r="131">
      <c r="A131" s="100"/>
      <c r="B131" s="154"/>
      <c r="C131" s="100"/>
      <c r="D131" s="100"/>
      <c r="E131" s="100"/>
      <c r="F131" s="100"/>
      <c r="G131" s="100"/>
      <c r="H131" s="155"/>
      <c r="I131" s="156"/>
      <c r="J131" s="157"/>
      <c r="K131" s="158"/>
      <c r="L131" s="159"/>
      <c r="M131" s="16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</row>
    <row r="132">
      <c r="A132" s="100"/>
      <c r="B132" s="154"/>
      <c r="C132" s="100"/>
      <c r="D132" s="100"/>
      <c r="E132" s="100"/>
      <c r="F132" s="100"/>
      <c r="G132" s="100"/>
      <c r="H132" s="155"/>
      <c r="I132" s="156"/>
      <c r="J132" s="157"/>
      <c r="K132" s="158"/>
      <c r="L132" s="159"/>
      <c r="M132" s="16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</row>
    <row r="133">
      <c r="A133" s="100"/>
      <c r="B133" s="154"/>
      <c r="C133" s="100"/>
      <c r="D133" s="100"/>
      <c r="E133" s="100"/>
      <c r="F133" s="100"/>
      <c r="G133" s="100"/>
      <c r="H133" s="155"/>
      <c r="I133" s="156"/>
      <c r="J133" s="157"/>
      <c r="K133" s="158"/>
      <c r="L133" s="159"/>
      <c r="M133" s="16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</row>
    <row r="134">
      <c r="A134" s="100"/>
      <c r="B134" s="154"/>
      <c r="C134" s="100"/>
      <c r="D134" s="100"/>
      <c r="E134" s="100"/>
      <c r="F134" s="100"/>
      <c r="G134" s="100"/>
      <c r="H134" s="155"/>
      <c r="I134" s="156"/>
      <c r="J134" s="157"/>
      <c r="K134" s="158"/>
      <c r="L134" s="159"/>
      <c r="M134" s="16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</row>
    <row r="135">
      <c r="A135" s="100"/>
      <c r="B135" s="154"/>
      <c r="C135" s="100"/>
      <c r="D135" s="100"/>
      <c r="E135" s="100"/>
      <c r="F135" s="100"/>
      <c r="G135" s="100"/>
      <c r="H135" s="155"/>
      <c r="I135" s="156"/>
      <c r="J135" s="157"/>
      <c r="K135" s="158"/>
      <c r="L135" s="159"/>
      <c r="M135" s="16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</row>
    <row r="136">
      <c r="A136" s="100"/>
      <c r="B136" s="154"/>
      <c r="C136" s="100"/>
      <c r="D136" s="100"/>
      <c r="E136" s="100"/>
      <c r="F136" s="100"/>
      <c r="G136" s="100"/>
      <c r="H136" s="155"/>
      <c r="I136" s="156"/>
      <c r="J136" s="157"/>
      <c r="K136" s="158"/>
      <c r="L136" s="159"/>
      <c r="M136" s="16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</row>
    <row r="137">
      <c r="A137" s="100"/>
      <c r="B137" s="154"/>
      <c r="C137" s="100"/>
      <c r="D137" s="100"/>
      <c r="E137" s="100"/>
      <c r="F137" s="100"/>
      <c r="G137" s="100"/>
      <c r="H137" s="155"/>
      <c r="I137" s="156"/>
      <c r="J137" s="157"/>
      <c r="K137" s="158"/>
      <c r="L137" s="159"/>
      <c r="M137" s="16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</row>
    <row r="138">
      <c r="A138" s="100"/>
      <c r="B138" s="154"/>
      <c r="C138" s="100"/>
      <c r="D138" s="100"/>
      <c r="E138" s="100"/>
      <c r="F138" s="100"/>
      <c r="G138" s="100"/>
      <c r="H138" s="155"/>
      <c r="I138" s="156"/>
      <c r="J138" s="157"/>
      <c r="K138" s="158"/>
      <c r="L138" s="159"/>
      <c r="M138" s="16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</row>
    <row r="139">
      <c r="A139" s="100"/>
      <c r="B139" s="154"/>
      <c r="C139" s="100"/>
      <c r="D139" s="100"/>
      <c r="E139" s="100"/>
      <c r="F139" s="100"/>
      <c r="G139" s="100"/>
      <c r="H139" s="155"/>
      <c r="I139" s="156"/>
      <c r="J139" s="157"/>
      <c r="K139" s="158"/>
      <c r="L139" s="159"/>
      <c r="M139" s="16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</row>
    <row r="140">
      <c r="A140" s="100"/>
      <c r="B140" s="154"/>
      <c r="C140" s="100"/>
      <c r="D140" s="100"/>
      <c r="E140" s="100"/>
      <c r="F140" s="100"/>
      <c r="G140" s="100"/>
      <c r="H140" s="155"/>
      <c r="I140" s="156"/>
      <c r="J140" s="157"/>
      <c r="K140" s="158"/>
      <c r="L140" s="159"/>
      <c r="M140" s="16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</row>
    <row r="141">
      <c r="A141" s="100"/>
      <c r="B141" s="154"/>
      <c r="C141" s="100"/>
      <c r="D141" s="100"/>
      <c r="E141" s="100"/>
      <c r="F141" s="100"/>
      <c r="G141" s="100"/>
      <c r="H141" s="155"/>
      <c r="I141" s="156"/>
      <c r="J141" s="157"/>
      <c r="K141" s="158"/>
      <c r="L141" s="159"/>
      <c r="M141" s="16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</row>
    <row r="142">
      <c r="A142" s="100"/>
      <c r="B142" s="154"/>
      <c r="C142" s="100"/>
      <c r="D142" s="100"/>
      <c r="E142" s="100"/>
      <c r="F142" s="100"/>
      <c r="G142" s="100"/>
      <c r="H142" s="155"/>
      <c r="I142" s="156"/>
      <c r="J142" s="157"/>
      <c r="K142" s="158"/>
      <c r="L142" s="159"/>
      <c r="M142" s="16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</row>
    <row r="143">
      <c r="A143" s="100"/>
      <c r="B143" s="154"/>
      <c r="C143" s="100"/>
      <c r="D143" s="100"/>
      <c r="E143" s="100"/>
      <c r="F143" s="100"/>
      <c r="G143" s="100"/>
      <c r="H143" s="155"/>
      <c r="I143" s="156"/>
      <c r="J143" s="157"/>
      <c r="K143" s="158"/>
      <c r="L143" s="159"/>
      <c r="M143" s="16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</row>
    <row r="144">
      <c r="A144" s="100"/>
      <c r="B144" s="154"/>
      <c r="C144" s="100"/>
      <c r="D144" s="100"/>
      <c r="E144" s="100"/>
      <c r="F144" s="100"/>
      <c r="G144" s="100"/>
      <c r="H144" s="155"/>
      <c r="I144" s="156"/>
      <c r="J144" s="157"/>
      <c r="K144" s="158"/>
      <c r="L144" s="159"/>
      <c r="M144" s="16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</row>
    <row r="145">
      <c r="A145" s="100"/>
      <c r="B145" s="154"/>
      <c r="C145" s="100"/>
      <c r="D145" s="100"/>
      <c r="E145" s="100"/>
      <c r="F145" s="100"/>
      <c r="G145" s="100"/>
      <c r="H145" s="155"/>
      <c r="I145" s="156"/>
      <c r="J145" s="157"/>
      <c r="K145" s="158"/>
      <c r="L145" s="159"/>
      <c r="M145" s="16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</row>
    <row r="146">
      <c r="A146" s="100"/>
      <c r="B146" s="154"/>
      <c r="C146" s="100"/>
      <c r="D146" s="100"/>
      <c r="E146" s="100"/>
      <c r="F146" s="100"/>
      <c r="G146" s="100"/>
      <c r="H146" s="155"/>
      <c r="I146" s="156"/>
      <c r="J146" s="157"/>
      <c r="K146" s="158"/>
      <c r="L146" s="159"/>
      <c r="M146" s="16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</row>
    <row r="147">
      <c r="A147" s="100"/>
      <c r="B147" s="154"/>
      <c r="C147" s="100"/>
      <c r="D147" s="100"/>
      <c r="E147" s="100"/>
      <c r="F147" s="100"/>
      <c r="G147" s="100"/>
      <c r="H147" s="155"/>
      <c r="I147" s="156"/>
      <c r="J147" s="157"/>
      <c r="K147" s="158"/>
      <c r="L147" s="159"/>
      <c r="M147" s="16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</row>
    <row r="148">
      <c r="A148" s="100"/>
      <c r="B148" s="154"/>
      <c r="C148" s="100"/>
      <c r="D148" s="100"/>
      <c r="E148" s="100"/>
      <c r="F148" s="100"/>
      <c r="G148" s="100"/>
      <c r="H148" s="155"/>
      <c r="I148" s="156"/>
      <c r="J148" s="157"/>
      <c r="K148" s="158"/>
      <c r="L148" s="159"/>
      <c r="M148" s="16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</row>
    <row r="149">
      <c r="A149" s="100"/>
      <c r="B149" s="154"/>
      <c r="C149" s="100"/>
      <c r="D149" s="100"/>
      <c r="E149" s="100"/>
      <c r="F149" s="100"/>
      <c r="G149" s="100"/>
      <c r="H149" s="155"/>
      <c r="I149" s="156"/>
      <c r="J149" s="157"/>
      <c r="K149" s="158"/>
      <c r="L149" s="159"/>
      <c r="M149" s="16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</row>
    <row r="150">
      <c r="A150" s="100"/>
      <c r="B150" s="154"/>
      <c r="C150" s="100"/>
      <c r="D150" s="100"/>
      <c r="E150" s="100"/>
      <c r="F150" s="100"/>
      <c r="G150" s="100"/>
      <c r="H150" s="155"/>
      <c r="I150" s="156"/>
      <c r="J150" s="157"/>
      <c r="K150" s="158"/>
      <c r="L150" s="159"/>
      <c r="M150" s="16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</row>
    <row r="151">
      <c r="A151" s="100"/>
      <c r="B151" s="154"/>
      <c r="C151" s="100"/>
      <c r="D151" s="100"/>
      <c r="E151" s="100"/>
      <c r="F151" s="100"/>
      <c r="G151" s="100"/>
      <c r="H151" s="155"/>
      <c r="I151" s="156"/>
      <c r="J151" s="157"/>
      <c r="K151" s="158"/>
      <c r="L151" s="159"/>
      <c r="M151" s="16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</row>
    <row r="152">
      <c r="A152" s="100"/>
      <c r="B152" s="154"/>
      <c r="C152" s="100"/>
      <c r="D152" s="100"/>
      <c r="E152" s="100"/>
      <c r="F152" s="100"/>
      <c r="G152" s="100"/>
      <c r="H152" s="155"/>
      <c r="I152" s="156"/>
      <c r="J152" s="157"/>
      <c r="K152" s="158"/>
      <c r="L152" s="159"/>
      <c r="M152" s="16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</row>
    <row r="153">
      <c r="A153" s="100"/>
      <c r="B153" s="154"/>
      <c r="C153" s="100"/>
      <c r="D153" s="100"/>
      <c r="E153" s="100"/>
      <c r="F153" s="100"/>
      <c r="G153" s="100"/>
      <c r="H153" s="155"/>
      <c r="I153" s="156"/>
      <c r="J153" s="157"/>
      <c r="K153" s="158"/>
      <c r="L153" s="159"/>
      <c r="M153" s="16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</row>
    <row r="154">
      <c r="A154" s="100"/>
      <c r="B154" s="154"/>
      <c r="C154" s="100"/>
      <c r="D154" s="100"/>
      <c r="E154" s="100"/>
      <c r="F154" s="100"/>
      <c r="G154" s="100"/>
      <c r="H154" s="155"/>
      <c r="I154" s="156"/>
      <c r="J154" s="157"/>
      <c r="K154" s="158"/>
      <c r="L154" s="159"/>
      <c r="M154" s="16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</row>
    <row r="155">
      <c r="A155" s="100"/>
      <c r="B155" s="154"/>
      <c r="C155" s="100"/>
      <c r="D155" s="100"/>
      <c r="E155" s="100"/>
      <c r="F155" s="100"/>
      <c r="G155" s="100"/>
      <c r="H155" s="155"/>
      <c r="I155" s="156"/>
      <c r="J155" s="157"/>
      <c r="K155" s="158"/>
      <c r="L155" s="159"/>
      <c r="M155" s="16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</row>
    <row r="156">
      <c r="A156" s="100"/>
      <c r="B156" s="154"/>
      <c r="C156" s="100"/>
      <c r="D156" s="100"/>
      <c r="E156" s="100"/>
      <c r="F156" s="100"/>
      <c r="G156" s="100"/>
      <c r="H156" s="155"/>
      <c r="I156" s="156"/>
      <c r="J156" s="157"/>
      <c r="K156" s="158"/>
      <c r="L156" s="159"/>
      <c r="M156" s="16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</row>
    <row r="157">
      <c r="A157" s="100"/>
      <c r="B157" s="154"/>
      <c r="C157" s="100"/>
      <c r="D157" s="100"/>
      <c r="E157" s="100"/>
      <c r="F157" s="100"/>
      <c r="G157" s="100"/>
      <c r="H157" s="155"/>
      <c r="I157" s="156"/>
      <c r="J157" s="157"/>
      <c r="K157" s="158"/>
      <c r="L157" s="159"/>
      <c r="M157" s="16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</row>
    <row r="158">
      <c r="A158" s="100"/>
      <c r="B158" s="154"/>
      <c r="C158" s="100"/>
      <c r="D158" s="100"/>
      <c r="E158" s="100"/>
      <c r="F158" s="100"/>
      <c r="G158" s="100"/>
      <c r="H158" s="155"/>
      <c r="I158" s="156"/>
      <c r="J158" s="157"/>
      <c r="K158" s="158"/>
      <c r="L158" s="159"/>
      <c r="M158" s="16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</row>
    <row r="159">
      <c r="A159" s="100"/>
      <c r="B159" s="154"/>
      <c r="C159" s="100"/>
      <c r="D159" s="100"/>
      <c r="E159" s="100"/>
      <c r="F159" s="100"/>
      <c r="G159" s="100"/>
      <c r="H159" s="155"/>
      <c r="I159" s="156"/>
      <c r="J159" s="157"/>
      <c r="K159" s="158"/>
      <c r="L159" s="159"/>
      <c r="M159" s="16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</row>
    <row r="160">
      <c r="A160" s="100"/>
      <c r="B160" s="154"/>
      <c r="C160" s="100"/>
      <c r="D160" s="100"/>
      <c r="E160" s="100"/>
      <c r="F160" s="100"/>
      <c r="G160" s="100"/>
      <c r="H160" s="155"/>
      <c r="I160" s="156"/>
      <c r="J160" s="157"/>
      <c r="K160" s="158"/>
      <c r="L160" s="159"/>
      <c r="M160" s="16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</row>
    <row r="161">
      <c r="A161" s="100"/>
      <c r="B161" s="154"/>
      <c r="C161" s="100"/>
      <c r="D161" s="100"/>
      <c r="E161" s="100"/>
      <c r="F161" s="100"/>
      <c r="G161" s="100"/>
      <c r="H161" s="155"/>
      <c r="I161" s="156"/>
      <c r="J161" s="157"/>
      <c r="K161" s="158"/>
      <c r="L161" s="159"/>
      <c r="M161" s="16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</row>
    <row r="162">
      <c r="A162" s="100"/>
      <c r="B162" s="154"/>
      <c r="C162" s="100"/>
      <c r="D162" s="100"/>
      <c r="E162" s="100"/>
      <c r="F162" s="100"/>
      <c r="G162" s="100"/>
      <c r="H162" s="155"/>
      <c r="I162" s="156"/>
      <c r="J162" s="157"/>
      <c r="K162" s="158"/>
      <c r="L162" s="159"/>
      <c r="M162" s="16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</row>
    <row r="163">
      <c r="A163" s="100"/>
      <c r="B163" s="154"/>
      <c r="C163" s="100"/>
      <c r="D163" s="100"/>
      <c r="E163" s="100"/>
      <c r="F163" s="100"/>
      <c r="G163" s="100"/>
      <c r="H163" s="155"/>
      <c r="I163" s="156"/>
      <c r="J163" s="157"/>
      <c r="K163" s="158"/>
      <c r="L163" s="159"/>
      <c r="M163" s="16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</row>
    <row r="164">
      <c r="A164" s="100"/>
      <c r="B164" s="154"/>
      <c r="C164" s="100"/>
      <c r="D164" s="100"/>
      <c r="E164" s="100"/>
      <c r="F164" s="100"/>
      <c r="G164" s="100"/>
      <c r="H164" s="155"/>
      <c r="I164" s="156"/>
      <c r="J164" s="157"/>
      <c r="K164" s="158"/>
      <c r="L164" s="159"/>
      <c r="M164" s="16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</row>
    <row r="165">
      <c r="A165" s="100"/>
      <c r="B165" s="154"/>
      <c r="C165" s="100"/>
      <c r="D165" s="100"/>
      <c r="E165" s="100"/>
      <c r="F165" s="100"/>
      <c r="G165" s="100"/>
      <c r="H165" s="155"/>
      <c r="I165" s="156"/>
      <c r="J165" s="157"/>
      <c r="K165" s="158"/>
      <c r="L165" s="159"/>
      <c r="M165" s="16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</row>
    <row r="166">
      <c r="A166" s="100"/>
      <c r="B166" s="154"/>
      <c r="C166" s="100"/>
      <c r="D166" s="100"/>
      <c r="E166" s="100"/>
      <c r="F166" s="100"/>
      <c r="G166" s="100"/>
      <c r="H166" s="155"/>
      <c r="I166" s="156"/>
      <c r="J166" s="157"/>
      <c r="K166" s="158"/>
      <c r="L166" s="159"/>
      <c r="M166" s="16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</row>
    <row r="167">
      <c r="A167" s="100"/>
      <c r="B167" s="154"/>
      <c r="C167" s="100"/>
      <c r="D167" s="100"/>
      <c r="E167" s="100"/>
      <c r="F167" s="100"/>
      <c r="G167" s="100"/>
      <c r="H167" s="155"/>
      <c r="I167" s="156"/>
      <c r="J167" s="157"/>
      <c r="K167" s="158"/>
      <c r="L167" s="159"/>
      <c r="M167" s="16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</row>
    <row r="168">
      <c r="A168" s="100"/>
      <c r="B168" s="154"/>
      <c r="C168" s="100"/>
      <c r="D168" s="100"/>
      <c r="E168" s="100"/>
      <c r="F168" s="100"/>
      <c r="G168" s="100"/>
      <c r="H168" s="155"/>
      <c r="I168" s="156"/>
      <c r="J168" s="157"/>
      <c r="K168" s="158"/>
      <c r="L168" s="159"/>
      <c r="M168" s="16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</row>
    <row r="169">
      <c r="A169" s="100"/>
      <c r="B169" s="154"/>
      <c r="C169" s="100"/>
      <c r="D169" s="100"/>
      <c r="E169" s="100"/>
      <c r="F169" s="100"/>
      <c r="G169" s="100"/>
      <c r="H169" s="155"/>
      <c r="I169" s="156"/>
      <c r="J169" s="157"/>
      <c r="K169" s="158"/>
      <c r="L169" s="159"/>
      <c r="M169" s="16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</row>
    <row r="170">
      <c r="A170" s="100"/>
      <c r="B170" s="154"/>
      <c r="C170" s="100"/>
      <c r="D170" s="100"/>
      <c r="E170" s="100"/>
      <c r="F170" s="100"/>
      <c r="G170" s="100"/>
      <c r="H170" s="155"/>
      <c r="I170" s="156"/>
      <c r="J170" s="157"/>
      <c r="K170" s="158"/>
      <c r="L170" s="159"/>
      <c r="M170" s="16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</row>
    <row r="171">
      <c r="A171" s="100"/>
      <c r="B171" s="154"/>
      <c r="C171" s="100"/>
      <c r="D171" s="100"/>
      <c r="E171" s="100"/>
      <c r="F171" s="100"/>
      <c r="G171" s="100"/>
      <c r="H171" s="155"/>
      <c r="I171" s="156"/>
      <c r="J171" s="157"/>
      <c r="K171" s="158"/>
      <c r="L171" s="159"/>
      <c r="M171" s="16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</row>
    <row r="172">
      <c r="A172" s="100"/>
      <c r="B172" s="154"/>
      <c r="C172" s="100"/>
      <c r="D172" s="100"/>
      <c r="E172" s="100"/>
      <c r="F172" s="100"/>
      <c r="G172" s="100"/>
      <c r="H172" s="155"/>
      <c r="I172" s="156"/>
      <c r="J172" s="157"/>
      <c r="K172" s="158"/>
      <c r="L172" s="159"/>
      <c r="M172" s="16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</row>
    <row r="173">
      <c r="A173" s="100"/>
      <c r="B173" s="154"/>
      <c r="C173" s="100"/>
      <c r="D173" s="100"/>
      <c r="E173" s="100"/>
      <c r="F173" s="100"/>
      <c r="G173" s="100"/>
      <c r="H173" s="155"/>
      <c r="I173" s="156"/>
      <c r="J173" s="157"/>
      <c r="K173" s="158"/>
      <c r="L173" s="159"/>
      <c r="M173" s="16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</row>
    <row r="174">
      <c r="A174" s="100"/>
      <c r="B174" s="154"/>
      <c r="C174" s="100"/>
      <c r="D174" s="100"/>
      <c r="E174" s="100"/>
      <c r="F174" s="100"/>
      <c r="G174" s="100"/>
      <c r="H174" s="155"/>
      <c r="I174" s="156"/>
      <c r="J174" s="157"/>
      <c r="K174" s="158"/>
      <c r="L174" s="159"/>
      <c r="M174" s="16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</row>
    <row r="175">
      <c r="A175" s="100"/>
      <c r="B175" s="154"/>
      <c r="C175" s="100"/>
      <c r="D175" s="100"/>
      <c r="E175" s="100"/>
      <c r="F175" s="100"/>
      <c r="G175" s="100"/>
      <c r="H175" s="155"/>
      <c r="I175" s="156"/>
      <c r="J175" s="157"/>
      <c r="K175" s="158"/>
      <c r="L175" s="159"/>
      <c r="M175" s="16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</row>
    <row r="176">
      <c r="A176" s="100"/>
      <c r="B176" s="154"/>
      <c r="C176" s="100"/>
      <c r="D176" s="100"/>
      <c r="E176" s="100"/>
      <c r="F176" s="100"/>
      <c r="G176" s="100"/>
      <c r="H176" s="155"/>
      <c r="I176" s="156"/>
      <c r="J176" s="157"/>
      <c r="K176" s="158"/>
      <c r="L176" s="159"/>
      <c r="M176" s="16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</row>
    <row r="177">
      <c r="A177" s="100"/>
      <c r="B177" s="154"/>
      <c r="C177" s="100"/>
      <c r="D177" s="100"/>
      <c r="E177" s="100"/>
      <c r="F177" s="100"/>
      <c r="G177" s="100"/>
      <c r="H177" s="155"/>
      <c r="I177" s="156"/>
      <c r="J177" s="157"/>
      <c r="K177" s="158"/>
      <c r="L177" s="159"/>
      <c r="M177" s="16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</row>
    <row r="178">
      <c r="A178" s="100"/>
      <c r="B178" s="154"/>
      <c r="C178" s="100"/>
      <c r="D178" s="100"/>
      <c r="E178" s="100"/>
      <c r="F178" s="100"/>
      <c r="G178" s="100"/>
      <c r="H178" s="155"/>
      <c r="I178" s="156"/>
      <c r="J178" s="157"/>
      <c r="K178" s="158"/>
      <c r="L178" s="159"/>
      <c r="M178" s="16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</row>
    <row r="179">
      <c r="A179" s="100"/>
      <c r="B179" s="154"/>
      <c r="C179" s="100"/>
      <c r="D179" s="100"/>
      <c r="E179" s="100"/>
      <c r="F179" s="100"/>
      <c r="G179" s="100"/>
      <c r="H179" s="155"/>
      <c r="I179" s="156"/>
      <c r="J179" s="157"/>
      <c r="K179" s="158"/>
      <c r="L179" s="159"/>
      <c r="M179" s="16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</row>
    <row r="180">
      <c r="A180" s="100"/>
      <c r="B180" s="154"/>
      <c r="C180" s="100"/>
      <c r="D180" s="100"/>
      <c r="E180" s="100"/>
      <c r="F180" s="100"/>
      <c r="G180" s="100"/>
      <c r="H180" s="155"/>
      <c r="I180" s="156"/>
      <c r="J180" s="157"/>
      <c r="K180" s="158"/>
      <c r="L180" s="159"/>
      <c r="M180" s="16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</row>
    <row r="181">
      <c r="A181" s="100"/>
      <c r="B181" s="154"/>
      <c r="C181" s="100"/>
      <c r="D181" s="100"/>
      <c r="E181" s="100"/>
      <c r="F181" s="100"/>
      <c r="G181" s="100"/>
      <c r="H181" s="155"/>
      <c r="I181" s="156"/>
      <c r="J181" s="157"/>
      <c r="K181" s="158"/>
      <c r="L181" s="159"/>
      <c r="M181" s="16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</row>
    <row r="182">
      <c r="A182" s="100"/>
      <c r="B182" s="154"/>
      <c r="C182" s="100"/>
      <c r="D182" s="100"/>
      <c r="E182" s="100"/>
      <c r="F182" s="100"/>
      <c r="G182" s="100"/>
      <c r="H182" s="155"/>
      <c r="I182" s="156"/>
      <c r="J182" s="157"/>
      <c r="K182" s="158"/>
      <c r="L182" s="159"/>
      <c r="M182" s="16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</row>
    <row r="183">
      <c r="A183" s="100"/>
      <c r="B183" s="154"/>
      <c r="C183" s="100"/>
      <c r="D183" s="100"/>
      <c r="E183" s="100"/>
      <c r="F183" s="100"/>
      <c r="G183" s="100"/>
      <c r="H183" s="155"/>
      <c r="I183" s="156"/>
      <c r="J183" s="157"/>
      <c r="K183" s="158"/>
      <c r="L183" s="159"/>
      <c r="M183" s="16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</row>
    <row r="184">
      <c r="A184" s="100"/>
      <c r="B184" s="154"/>
      <c r="C184" s="100"/>
      <c r="D184" s="100"/>
      <c r="E184" s="100"/>
      <c r="F184" s="100"/>
      <c r="G184" s="100"/>
      <c r="H184" s="155"/>
      <c r="I184" s="156"/>
      <c r="J184" s="157"/>
      <c r="K184" s="158"/>
      <c r="L184" s="159"/>
      <c r="M184" s="16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</row>
    <row r="185">
      <c r="A185" s="100"/>
      <c r="B185" s="154"/>
      <c r="C185" s="100"/>
      <c r="D185" s="100"/>
      <c r="E185" s="100"/>
      <c r="F185" s="100"/>
      <c r="G185" s="100"/>
      <c r="H185" s="155"/>
      <c r="I185" s="156"/>
      <c r="J185" s="157"/>
      <c r="K185" s="158"/>
      <c r="L185" s="159"/>
      <c r="M185" s="16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</row>
    <row r="186">
      <c r="A186" s="100"/>
      <c r="B186" s="154"/>
      <c r="C186" s="100"/>
      <c r="D186" s="100"/>
      <c r="E186" s="100"/>
      <c r="F186" s="100"/>
      <c r="G186" s="100"/>
      <c r="H186" s="155"/>
      <c r="I186" s="156"/>
      <c r="J186" s="157"/>
      <c r="K186" s="158"/>
      <c r="L186" s="159"/>
      <c r="M186" s="16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</row>
    <row r="187">
      <c r="A187" s="100"/>
      <c r="B187" s="154"/>
      <c r="C187" s="100"/>
      <c r="D187" s="100"/>
      <c r="E187" s="100"/>
      <c r="F187" s="100"/>
      <c r="G187" s="100"/>
      <c r="H187" s="155"/>
      <c r="I187" s="156"/>
      <c r="J187" s="157"/>
      <c r="K187" s="158"/>
      <c r="L187" s="159"/>
      <c r="M187" s="16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</row>
    <row r="188">
      <c r="A188" s="100"/>
      <c r="B188" s="154"/>
      <c r="C188" s="100"/>
      <c r="D188" s="100"/>
      <c r="E188" s="100"/>
      <c r="F188" s="100"/>
      <c r="G188" s="100"/>
      <c r="H188" s="155"/>
      <c r="I188" s="156"/>
      <c r="J188" s="157"/>
      <c r="K188" s="158"/>
      <c r="L188" s="159"/>
      <c r="M188" s="16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</row>
    <row r="189">
      <c r="A189" s="100"/>
      <c r="B189" s="154"/>
      <c r="C189" s="100"/>
      <c r="D189" s="100"/>
      <c r="E189" s="100"/>
      <c r="F189" s="100"/>
      <c r="G189" s="100"/>
      <c r="H189" s="155"/>
      <c r="I189" s="156"/>
      <c r="J189" s="157"/>
      <c r="K189" s="158"/>
      <c r="L189" s="159"/>
      <c r="M189" s="16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</row>
    <row r="190">
      <c r="A190" s="100"/>
      <c r="B190" s="154"/>
      <c r="C190" s="100"/>
      <c r="D190" s="100"/>
      <c r="E190" s="100"/>
      <c r="F190" s="100"/>
      <c r="G190" s="100"/>
      <c r="H190" s="155"/>
      <c r="I190" s="156"/>
      <c r="J190" s="157"/>
      <c r="K190" s="158"/>
      <c r="L190" s="159"/>
      <c r="M190" s="16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</row>
    <row r="191">
      <c r="A191" s="100"/>
      <c r="B191" s="154"/>
      <c r="C191" s="100"/>
      <c r="D191" s="100"/>
      <c r="E191" s="100"/>
      <c r="F191" s="100"/>
      <c r="G191" s="100"/>
      <c r="H191" s="155"/>
      <c r="I191" s="156"/>
      <c r="J191" s="157"/>
      <c r="K191" s="158"/>
      <c r="L191" s="159"/>
      <c r="M191" s="16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</row>
    <row r="192">
      <c r="A192" s="100"/>
      <c r="B192" s="154"/>
      <c r="C192" s="100"/>
      <c r="D192" s="100"/>
      <c r="E192" s="100"/>
      <c r="F192" s="100"/>
      <c r="G192" s="100"/>
      <c r="H192" s="155"/>
      <c r="I192" s="156"/>
      <c r="J192" s="157"/>
      <c r="K192" s="158"/>
      <c r="L192" s="159"/>
      <c r="M192" s="16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</row>
    <row r="193">
      <c r="A193" s="100"/>
      <c r="B193" s="154"/>
      <c r="C193" s="100"/>
      <c r="D193" s="100"/>
      <c r="E193" s="100"/>
      <c r="F193" s="100"/>
      <c r="G193" s="100"/>
      <c r="H193" s="155"/>
      <c r="I193" s="156"/>
      <c r="J193" s="157"/>
      <c r="K193" s="158"/>
      <c r="L193" s="159"/>
      <c r="M193" s="16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</row>
    <row r="194">
      <c r="A194" s="100"/>
      <c r="B194" s="154"/>
      <c r="C194" s="100"/>
      <c r="D194" s="100"/>
      <c r="E194" s="100"/>
      <c r="F194" s="100"/>
      <c r="G194" s="100"/>
      <c r="H194" s="155"/>
      <c r="I194" s="156"/>
      <c r="J194" s="157"/>
      <c r="K194" s="158"/>
      <c r="L194" s="159"/>
      <c r="M194" s="16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</row>
    <row r="195">
      <c r="A195" s="100"/>
      <c r="B195" s="154"/>
      <c r="C195" s="100"/>
      <c r="D195" s="100"/>
      <c r="E195" s="100"/>
      <c r="F195" s="100"/>
      <c r="G195" s="100"/>
      <c r="H195" s="155"/>
      <c r="I195" s="156"/>
      <c r="J195" s="157"/>
      <c r="K195" s="158"/>
      <c r="L195" s="159"/>
      <c r="M195" s="16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</row>
    <row r="196">
      <c r="A196" s="100"/>
      <c r="B196" s="154"/>
      <c r="C196" s="100"/>
      <c r="D196" s="100"/>
      <c r="E196" s="100"/>
      <c r="F196" s="100"/>
      <c r="G196" s="100"/>
      <c r="H196" s="155"/>
      <c r="I196" s="156"/>
      <c r="J196" s="157"/>
      <c r="K196" s="158"/>
      <c r="L196" s="159"/>
      <c r="M196" s="16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</row>
    <row r="197">
      <c r="A197" s="100"/>
      <c r="B197" s="154"/>
      <c r="C197" s="100"/>
      <c r="D197" s="100"/>
      <c r="E197" s="100"/>
      <c r="F197" s="100"/>
      <c r="G197" s="100"/>
      <c r="H197" s="155"/>
      <c r="I197" s="156"/>
      <c r="J197" s="157"/>
      <c r="K197" s="158"/>
      <c r="L197" s="159"/>
      <c r="M197" s="16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</row>
    <row r="198">
      <c r="A198" s="100"/>
      <c r="B198" s="154"/>
      <c r="C198" s="100"/>
      <c r="D198" s="100"/>
      <c r="E198" s="100"/>
      <c r="F198" s="100"/>
      <c r="G198" s="100"/>
      <c r="H198" s="155"/>
      <c r="I198" s="156"/>
      <c r="J198" s="157"/>
      <c r="K198" s="158"/>
      <c r="L198" s="159"/>
      <c r="M198" s="16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</row>
    <row r="199">
      <c r="A199" s="100"/>
      <c r="B199" s="154"/>
      <c r="C199" s="100"/>
      <c r="D199" s="100"/>
      <c r="E199" s="100"/>
      <c r="F199" s="100"/>
      <c r="G199" s="100"/>
      <c r="H199" s="155"/>
      <c r="I199" s="156"/>
      <c r="J199" s="157"/>
      <c r="K199" s="158"/>
      <c r="L199" s="159"/>
      <c r="M199" s="16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</row>
    <row r="200">
      <c r="A200" s="100"/>
      <c r="B200" s="154"/>
      <c r="C200" s="100"/>
      <c r="D200" s="100"/>
      <c r="E200" s="100"/>
      <c r="F200" s="100"/>
      <c r="G200" s="100"/>
      <c r="H200" s="155"/>
      <c r="I200" s="156"/>
      <c r="J200" s="157"/>
      <c r="K200" s="158"/>
      <c r="L200" s="159"/>
      <c r="M200" s="16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</row>
    <row r="201">
      <c r="A201" s="100"/>
      <c r="B201" s="154"/>
      <c r="C201" s="100"/>
      <c r="D201" s="100"/>
      <c r="E201" s="100"/>
      <c r="F201" s="100"/>
      <c r="G201" s="100"/>
      <c r="H201" s="155"/>
      <c r="I201" s="156"/>
      <c r="J201" s="157"/>
      <c r="K201" s="158"/>
      <c r="L201" s="159"/>
      <c r="M201" s="16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</row>
    <row r="202">
      <c r="A202" s="100"/>
      <c r="B202" s="154"/>
      <c r="C202" s="100"/>
      <c r="D202" s="100"/>
      <c r="E202" s="100"/>
      <c r="F202" s="100"/>
      <c r="G202" s="100"/>
      <c r="H202" s="155"/>
      <c r="I202" s="156"/>
      <c r="J202" s="157"/>
      <c r="K202" s="158"/>
      <c r="L202" s="159"/>
      <c r="M202" s="16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</row>
    <row r="203">
      <c r="A203" s="100"/>
      <c r="B203" s="154"/>
      <c r="C203" s="100"/>
      <c r="D203" s="100"/>
      <c r="E203" s="100"/>
      <c r="F203" s="100"/>
      <c r="G203" s="100"/>
      <c r="H203" s="155"/>
      <c r="I203" s="156"/>
      <c r="J203" s="157"/>
      <c r="K203" s="158"/>
      <c r="L203" s="159"/>
      <c r="M203" s="16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</row>
    <row r="204">
      <c r="A204" s="100"/>
      <c r="B204" s="154"/>
      <c r="C204" s="100"/>
      <c r="D204" s="100"/>
      <c r="E204" s="100"/>
      <c r="F204" s="100"/>
      <c r="G204" s="100"/>
      <c r="H204" s="155"/>
      <c r="I204" s="156"/>
      <c r="J204" s="157"/>
      <c r="K204" s="158"/>
      <c r="L204" s="159"/>
      <c r="M204" s="16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</row>
    <row r="205">
      <c r="A205" s="100"/>
      <c r="B205" s="154"/>
      <c r="C205" s="100"/>
      <c r="D205" s="100"/>
      <c r="E205" s="100"/>
      <c r="F205" s="100"/>
      <c r="G205" s="100"/>
      <c r="H205" s="155"/>
      <c r="I205" s="156"/>
      <c r="J205" s="157"/>
      <c r="K205" s="158"/>
      <c r="L205" s="159"/>
      <c r="M205" s="16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</row>
    <row r="206">
      <c r="A206" s="100"/>
      <c r="B206" s="154"/>
      <c r="C206" s="100"/>
      <c r="D206" s="100"/>
      <c r="E206" s="100"/>
      <c r="F206" s="100"/>
      <c r="G206" s="100"/>
      <c r="H206" s="155"/>
      <c r="I206" s="156"/>
      <c r="J206" s="157"/>
      <c r="K206" s="158"/>
      <c r="L206" s="159"/>
      <c r="M206" s="16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</row>
    <row r="207">
      <c r="A207" s="100"/>
      <c r="B207" s="154"/>
      <c r="C207" s="100"/>
      <c r="D207" s="100"/>
      <c r="E207" s="100"/>
      <c r="F207" s="100"/>
      <c r="G207" s="100"/>
      <c r="H207" s="155"/>
      <c r="I207" s="156"/>
      <c r="J207" s="157"/>
      <c r="K207" s="158"/>
      <c r="L207" s="159"/>
      <c r="M207" s="16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</row>
    <row r="208">
      <c r="A208" s="100"/>
      <c r="B208" s="154"/>
      <c r="C208" s="100"/>
      <c r="D208" s="100"/>
      <c r="E208" s="100"/>
      <c r="F208" s="100"/>
      <c r="G208" s="100"/>
      <c r="H208" s="155"/>
      <c r="I208" s="156"/>
      <c r="J208" s="157"/>
      <c r="K208" s="158"/>
      <c r="L208" s="159"/>
      <c r="M208" s="16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</row>
    <row r="209">
      <c r="A209" s="100"/>
      <c r="B209" s="154"/>
      <c r="C209" s="100"/>
      <c r="D209" s="100"/>
      <c r="E209" s="100"/>
      <c r="F209" s="100"/>
      <c r="G209" s="100"/>
      <c r="H209" s="155"/>
      <c r="I209" s="156"/>
      <c r="J209" s="157"/>
      <c r="K209" s="158"/>
      <c r="L209" s="159"/>
      <c r="M209" s="16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</row>
    <row r="210">
      <c r="A210" s="100"/>
      <c r="B210" s="154"/>
      <c r="C210" s="100"/>
      <c r="D210" s="100"/>
      <c r="E210" s="100"/>
      <c r="F210" s="100"/>
      <c r="G210" s="100"/>
      <c r="H210" s="155"/>
      <c r="I210" s="156"/>
      <c r="J210" s="157"/>
      <c r="K210" s="158"/>
      <c r="L210" s="159"/>
      <c r="M210" s="16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</row>
    <row r="211">
      <c r="A211" s="100"/>
      <c r="B211" s="154"/>
      <c r="C211" s="100"/>
      <c r="D211" s="100"/>
      <c r="E211" s="100"/>
      <c r="F211" s="100"/>
      <c r="G211" s="100"/>
      <c r="H211" s="155"/>
      <c r="I211" s="156"/>
      <c r="J211" s="157"/>
      <c r="K211" s="158"/>
      <c r="L211" s="159"/>
      <c r="M211" s="16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</row>
    <row r="212">
      <c r="A212" s="100"/>
      <c r="B212" s="154"/>
      <c r="C212" s="100"/>
      <c r="D212" s="100"/>
      <c r="E212" s="100"/>
      <c r="F212" s="100"/>
      <c r="G212" s="100"/>
      <c r="H212" s="155"/>
      <c r="I212" s="156"/>
      <c r="J212" s="157"/>
      <c r="K212" s="158"/>
      <c r="L212" s="159"/>
      <c r="M212" s="16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</row>
    <row r="213">
      <c r="A213" s="100"/>
      <c r="B213" s="154"/>
      <c r="C213" s="100"/>
      <c r="D213" s="100"/>
      <c r="E213" s="100"/>
      <c r="F213" s="100"/>
      <c r="G213" s="100"/>
      <c r="H213" s="155"/>
      <c r="I213" s="156"/>
      <c r="J213" s="157"/>
      <c r="K213" s="158"/>
      <c r="L213" s="159"/>
      <c r="M213" s="16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</row>
    <row r="214">
      <c r="A214" s="100"/>
      <c r="B214" s="154"/>
      <c r="C214" s="100"/>
      <c r="D214" s="100"/>
      <c r="E214" s="100"/>
      <c r="F214" s="100"/>
      <c r="G214" s="100"/>
      <c r="H214" s="155"/>
      <c r="I214" s="156"/>
      <c r="J214" s="157"/>
      <c r="K214" s="158"/>
      <c r="L214" s="159"/>
      <c r="M214" s="16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</row>
    <row r="215">
      <c r="A215" s="100"/>
      <c r="B215" s="154"/>
      <c r="C215" s="100"/>
      <c r="D215" s="100"/>
      <c r="E215" s="100"/>
      <c r="F215" s="100"/>
      <c r="G215" s="100"/>
      <c r="H215" s="155"/>
      <c r="I215" s="156"/>
      <c r="J215" s="157"/>
      <c r="K215" s="158"/>
      <c r="L215" s="159"/>
      <c r="M215" s="16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</row>
    <row r="216">
      <c r="A216" s="100"/>
      <c r="B216" s="154"/>
      <c r="C216" s="100"/>
      <c r="D216" s="100"/>
      <c r="E216" s="100"/>
      <c r="F216" s="100"/>
      <c r="G216" s="100"/>
      <c r="H216" s="155"/>
      <c r="I216" s="156"/>
      <c r="J216" s="157"/>
      <c r="K216" s="158"/>
      <c r="L216" s="159"/>
      <c r="M216" s="16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</row>
    <row r="217">
      <c r="A217" s="100"/>
      <c r="B217" s="154"/>
      <c r="C217" s="100"/>
      <c r="D217" s="100"/>
      <c r="E217" s="100"/>
      <c r="F217" s="100"/>
      <c r="G217" s="100"/>
      <c r="H217" s="155"/>
      <c r="I217" s="156"/>
      <c r="J217" s="157"/>
      <c r="K217" s="158"/>
      <c r="L217" s="159"/>
      <c r="M217" s="16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</row>
    <row r="218">
      <c r="A218" s="100"/>
      <c r="B218" s="154"/>
      <c r="C218" s="100"/>
      <c r="D218" s="100"/>
      <c r="E218" s="100"/>
      <c r="F218" s="100"/>
      <c r="G218" s="100"/>
      <c r="H218" s="155"/>
      <c r="I218" s="156"/>
      <c r="J218" s="157"/>
      <c r="K218" s="158"/>
      <c r="L218" s="159"/>
      <c r="M218" s="16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</row>
    <row r="219">
      <c r="A219" s="100"/>
      <c r="B219" s="154"/>
      <c r="C219" s="100"/>
      <c r="D219" s="100"/>
      <c r="E219" s="100"/>
      <c r="F219" s="100"/>
      <c r="G219" s="100"/>
      <c r="H219" s="155"/>
      <c r="I219" s="156"/>
      <c r="J219" s="157"/>
      <c r="K219" s="158"/>
      <c r="L219" s="159"/>
      <c r="M219" s="16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</row>
    <row r="220">
      <c r="A220" s="100"/>
      <c r="B220" s="154"/>
      <c r="C220" s="100"/>
      <c r="D220" s="100"/>
      <c r="E220" s="100"/>
      <c r="F220" s="100"/>
      <c r="G220" s="100"/>
      <c r="H220" s="155"/>
      <c r="I220" s="156"/>
      <c r="J220" s="157"/>
      <c r="K220" s="158"/>
      <c r="L220" s="159"/>
      <c r="M220" s="16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</row>
    <row r="221">
      <c r="A221" s="100"/>
      <c r="B221" s="154"/>
      <c r="C221" s="100"/>
      <c r="D221" s="100"/>
      <c r="E221" s="100"/>
      <c r="F221" s="100"/>
      <c r="G221" s="100"/>
      <c r="H221" s="155"/>
      <c r="I221" s="156"/>
      <c r="J221" s="157"/>
      <c r="K221" s="158"/>
      <c r="L221" s="159"/>
      <c r="M221" s="16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</row>
    <row r="222">
      <c r="A222" s="100"/>
      <c r="B222" s="154"/>
      <c r="C222" s="100"/>
      <c r="D222" s="100"/>
      <c r="E222" s="100"/>
      <c r="F222" s="100"/>
      <c r="G222" s="100"/>
      <c r="H222" s="155"/>
      <c r="I222" s="156"/>
      <c r="J222" s="157"/>
      <c r="K222" s="158"/>
      <c r="L222" s="159"/>
      <c r="M222" s="16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</row>
    <row r="223">
      <c r="A223" s="100"/>
      <c r="B223" s="154"/>
      <c r="C223" s="100"/>
      <c r="D223" s="100"/>
      <c r="E223" s="100"/>
      <c r="F223" s="100"/>
      <c r="G223" s="100"/>
      <c r="H223" s="155"/>
      <c r="I223" s="156"/>
      <c r="J223" s="157"/>
      <c r="K223" s="158"/>
      <c r="L223" s="159"/>
      <c r="M223" s="16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</row>
    <row r="224">
      <c r="A224" s="100"/>
      <c r="B224" s="154"/>
      <c r="C224" s="100"/>
      <c r="D224" s="100"/>
      <c r="E224" s="100"/>
      <c r="F224" s="100"/>
      <c r="G224" s="100"/>
      <c r="H224" s="155"/>
      <c r="I224" s="156"/>
      <c r="J224" s="157"/>
      <c r="K224" s="158"/>
      <c r="L224" s="159"/>
      <c r="M224" s="16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</row>
    <row r="225">
      <c r="A225" s="100"/>
      <c r="B225" s="154"/>
      <c r="C225" s="100"/>
      <c r="D225" s="100"/>
      <c r="E225" s="100"/>
      <c r="F225" s="100"/>
      <c r="G225" s="100"/>
      <c r="H225" s="155"/>
      <c r="I225" s="156"/>
      <c r="J225" s="157"/>
      <c r="K225" s="158"/>
      <c r="L225" s="159"/>
      <c r="M225" s="16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</row>
    <row r="226">
      <c r="A226" s="100"/>
      <c r="B226" s="154"/>
      <c r="C226" s="100"/>
      <c r="D226" s="100"/>
      <c r="E226" s="100"/>
      <c r="F226" s="100"/>
      <c r="G226" s="100"/>
      <c r="H226" s="155"/>
      <c r="I226" s="156"/>
      <c r="J226" s="157"/>
      <c r="K226" s="158"/>
      <c r="L226" s="159"/>
      <c r="M226" s="16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</row>
    <row r="227">
      <c r="A227" s="100"/>
      <c r="B227" s="154"/>
      <c r="C227" s="100"/>
      <c r="D227" s="100"/>
      <c r="E227" s="100"/>
      <c r="F227" s="100"/>
      <c r="G227" s="100"/>
      <c r="H227" s="155"/>
      <c r="I227" s="156"/>
      <c r="J227" s="157"/>
      <c r="K227" s="158"/>
      <c r="L227" s="159"/>
      <c r="M227" s="16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</row>
    <row r="228">
      <c r="A228" s="100"/>
      <c r="B228" s="154"/>
      <c r="C228" s="100"/>
      <c r="D228" s="100"/>
      <c r="E228" s="100"/>
      <c r="F228" s="100"/>
      <c r="G228" s="100"/>
      <c r="H228" s="155"/>
      <c r="I228" s="156"/>
      <c r="J228" s="157"/>
      <c r="K228" s="158"/>
      <c r="L228" s="159"/>
      <c r="M228" s="16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</row>
    <row r="229">
      <c r="A229" s="100"/>
      <c r="B229" s="154"/>
      <c r="C229" s="100"/>
      <c r="D229" s="100"/>
      <c r="E229" s="100"/>
      <c r="F229" s="100"/>
      <c r="G229" s="100"/>
      <c r="H229" s="155"/>
      <c r="I229" s="156"/>
      <c r="J229" s="157"/>
      <c r="K229" s="158"/>
      <c r="L229" s="159"/>
      <c r="M229" s="16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</row>
    <row r="230">
      <c r="A230" s="100"/>
      <c r="B230" s="154"/>
      <c r="C230" s="100"/>
      <c r="D230" s="100"/>
      <c r="E230" s="100"/>
      <c r="F230" s="100"/>
      <c r="G230" s="100"/>
      <c r="H230" s="155"/>
      <c r="I230" s="156"/>
      <c r="J230" s="157"/>
      <c r="K230" s="158"/>
      <c r="L230" s="159"/>
      <c r="M230" s="16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</row>
    <row r="231">
      <c r="A231" s="100"/>
      <c r="B231" s="154"/>
      <c r="C231" s="100"/>
      <c r="D231" s="100"/>
      <c r="E231" s="100"/>
      <c r="F231" s="100"/>
      <c r="G231" s="100"/>
      <c r="H231" s="155"/>
      <c r="I231" s="156"/>
      <c r="J231" s="157"/>
      <c r="K231" s="158"/>
      <c r="L231" s="159"/>
      <c r="M231" s="16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</row>
    <row r="232">
      <c r="A232" s="100"/>
      <c r="B232" s="154"/>
      <c r="C232" s="100"/>
      <c r="D232" s="100"/>
      <c r="E232" s="100"/>
      <c r="F232" s="100"/>
      <c r="G232" s="100"/>
      <c r="H232" s="155"/>
      <c r="I232" s="156"/>
      <c r="J232" s="157"/>
      <c r="K232" s="158"/>
      <c r="L232" s="159"/>
      <c r="M232" s="16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</row>
    <row r="233">
      <c r="A233" s="100"/>
      <c r="B233" s="154"/>
      <c r="C233" s="100"/>
      <c r="D233" s="100"/>
      <c r="E233" s="100"/>
      <c r="F233" s="100"/>
      <c r="G233" s="100"/>
      <c r="H233" s="155"/>
      <c r="I233" s="156"/>
      <c r="J233" s="157"/>
      <c r="K233" s="158"/>
      <c r="L233" s="159"/>
      <c r="M233" s="16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</row>
    <row r="234">
      <c r="A234" s="100"/>
      <c r="B234" s="154"/>
      <c r="C234" s="100"/>
      <c r="D234" s="100"/>
      <c r="E234" s="100"/>
      <c r="F234" s="100"/>
      <c r="G234" s="100"/>
      <c r="H234" s="155"/>
      <c r="I234" s="156"/>
      <c r="J234" s="157"/>
      <c r="K234" s="158"/>
      <c r="L234" s="159"/>
      <c r="M234" s="16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</row>
    <row r="235">
      <c r="A235" s="100"/>
      <c r="B235" s="154"/>
      <c r="C235" s="100"/>
      <c r="D235" s="100"/>
      <c r="E235" s="100"/>
      <c r="F235" s="100"/>
      <c r="G235" s="100"/>
      <c r="H235" s="155"/>
      <c r="I235" s="156"/>
      <c r="J235" s="157"/>
      <c r="K235" s="158"/>
      <c r="L235" s="159"/>
      <c r="M235" s="16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</row>
    <row r="236">
      <c r="A236" s="100"/>
      <c r="B236" s="154"/>
      <c r="C236" s="100"/>
      <c r="D236" s="100"/>
      <c r="E236" s="100"/>
      <c r="F236" s="100"/>
      <c r="G236" s="100"/>
      <c r="H236" s="155"/>
      <c r="I236" s="156"/>
      <c r="J236" s="157"/>
      <c r="K236" s="158"/>
      <c r="L236" s="159"/>
      <c r="M236" s="16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</row>
    <row r="237">
      <c r="A237" s="100"/>
      <c r="B237" s="154"/>
      <c r="C237" s="100"/>
      <c r="D237" s="100"/>
      <c r="E237" s="100"/>
      <c r="F237" s="100"/>
      <c r="G237" s="100"/>
      <c r="H237" s="155"/>
      <c r="I237" s="156"/>
      <c r="J237" s="157"/>
      <c r="K237" s="158"/>
      <c r="L237" s="159"/>
      <c r="M237" s="16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</row>
    <row r="238">
      <c r="A238" s="100"/>
      <c r="B238" s="154"/>
      <c r="C238" s="100"/>
      <c r="D238" s="100"/>
      <c r="E238" s="100"/>
      <c r="F238" s="100"/>
      <c r="G238" s="100"/>
      <c r="H238" s="155"/>
      <c r="I238" s="156"/>
      <c r="J238" s="157"/>
      <c r="K238" s="158"/>
      <c r="L238" s="159"/>
      <c r="M238" s="16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</row>
    <row r="239">
      <c r="A239" s="100"/>
      <c r="B239" s="154"/>
      <c r="C239" s="100"/>
      <c r="D239" s="100"/>
      <c r="E239" s="100"/>
      <c r="F239" s="100"/>
      <c r="G239" s="100"/>
      <c r="H239" s="155"/>
      <c r="I239" s="156"/>
      <c r="J239" s="157"/>
      <c r="K239" s="158"/>
      <c r="L239" s="159"/>
      <c r="M239" s="16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</row>
    <row r="240">
      <c r="A240" s="100"/>
      <c r="B240" s="154"/>
      <c r="C240" s="100"/>
      <c r="D240" s="100"/>
      <c r="E240" s="100"/>
      <c r="F240" s="100"/>
      <c r="G240" s="100"/>
      <c r="H240" s="155"/>
      <c r="I240" s="156"/>
      <c r="J240" s="157"/>
      <c r="K240" s="158"/>
      <c r="L240" s="159"/>
      <c r="M240" s="16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</row>
    <row r="241">
      <c r="A241" s="100"/>
      <c r="B241" s="154"/>
      <c r="C241" s="100"/>
      <c r="D241" s="100"/>
      <c r="E241" s="100"/>
      <c r="F241" s="100"/>
      <c r="G241" s="100"/>
      <c r="H241" s="155"/>
      <c r="I241" s="156"/>
      <c r="J241" s="157"/>
      <c r="K241" s="158"/>
      <c r="L241" s="159"/>
      <c r="M241" s="16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</row>
    <row r="242">
      <c r="A242" s="100"/>
      <c r="B242" s="154"/>
      <c r="C242" s="100"/>
      <c r="D242" s="100"/>
      <c r="E242" s="100"/>
      <c r="F242" s="100"/>
      <c r="G242" s="100"/>
      <c r="H242" s="155"/>
      <c r="I242" s="156"/>
      <c r="J242" s="157"/>
      <c r="K242" s="158"/>
      <c r="L242" s="159"/>
      <c r="M242" s="16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</row>
    <row r="243">
      <c r="A243" s="100"/>
      <c r="B243" s="154"/>
      <c r="C243" s="100"/>
      <c r="D243" s="100"/>
      <c r="E243" s="100"/>
      <c r="F243" s="100"/>
      <c r="G243" s="100"/>
      <c r="H243" s="155"/>
      <c r="I243" s="156"/>
      <c r="J243" s="157"/>
      <c r="K243" s="158"/>
      <c r="L243" s="159"/>
      <c r="M243" s="16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</row>
    <row r="244">
      <c r="A244" s="100"/>
      <c r="B244" s="154"/>
      <c r="C244" s="100"/>
      <c r="D244" s="100"/>
      <c r="E244" s="100"/>
      <c r="F244" s="100"/>
      <c r="G244" s="100"/>
      <c r="H244" s="155"/>
      <c r="I244" s="156"/>
      <c r="J244" s="157"/>
      <c r="K244" s="158"/>
      <c r="L244" s="159"/>
      <c r="M244" s="16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</row>
    <row r="245">
      <c r="A245" s="100"/>
      <c r="B245" s="154"/>
      <c r="C245" s="100"/>
      <c r="D245" s="100"/>
      <c r="E245" s="100"/>
      <c r="F245" s="100"/>
      <c r="G245" s="100"/>
      <c r="H245" s="155"/>
      <c r="I245" s="156"/>
      <c r="J245" s="157"/>
      <c r="K245" s="158"/>
      <c r="L245" s="159"/>
      <c r="M245" s="16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</row>
    <row r="246">
      <c r="A246" s="100"/>
      <c r="B246" s="154"/>
      <c r="C246" s="100"/>
      <c r="D246" s="100"/>
      <c r="E246" s="100"/>
      <c r="F246" s="100"/>
      <c r="G246" s="100"/>
      <c r="H246" s="155"/>
      <c r="I246" s="156"/>
      <c r="J246" s="157"/>
      <c r="K246" s="158"/>
      <c r="L246" s="159"/>
      <c r="M246" s="16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</row>
    <row r="247">
      <c r="A247" s="100"/>
      <c r="B247" s="154"/>
      <c r="C247" s="100"/>
      <c r="D247" s="100"/>
      <c r="E247" s="100"/>
      <c r="F247" s="100"/>
      <c r="G247" s="100"/>
      <c r="H247" s="155"/>
      <c r="I247" s="156"/>
      <c r="J247" s="157"/>
      <c r="K247" s="158"/>
      <c r="L247" s="159"/>
      <c r="M247" s="16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</row>
    <row r="248">
      <c r="A248" s="100"/>
      <c r="B248" s="154"/>
      <c r="C248" s="100"/>
      <c r="D248" s="100"/>
      <c r="E248" s="100"/>
      <c r="F248" s="100"/>
      <c r="G248" s="100"/>
      <c r="H248" s="155"/>
      <c r="I248" s="156"/>
      <c r="J248" s="157"/>
      <c r="K248" s="158"/>
      <c r="L248" s="159"/>
      <c r="M248" s="16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</row>
    <row r="249">
      <c r="A249" s="100"/>
      <c r="B249" s="154"/>
      <c r="C249" s="100"/>
      <c r="D249" s="100"/>
      <c r="E249" s="100"/>
      <c r="F249" s="100"/>
      <c r="G249" s="100"/>
      <c r="H249" s="155"/>
      <c r="I249" s="156"/>
      <c r="J249" s="157"/>
      <c r="K249" s="158"/>
      <c r="L249" s="159"/>
      <c r="M249" s="16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</row>
    <row r="250">
      <c r="A250" s="100"/>
      <c r="B250" s="154"/>
      <c r="C250" s="100"/>
      <c r="D250" s="100"/>
      <c r="E250" s="100"/>
      <c r="F250" s="100"/>
      <c r="G250" s="100"/>
      <c r="H250" s="155"/>
      <c r="I250" s="156"/>
      <c r="J250" s="157"/>
      <c r="K250" s="158"/>
      <c r="L250" s="159"/>
      <c r="M250" s="16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</row>
    <row r="251">
      <c r="A251" s="100"/>
      <c r="B251" s="154"/>
      <c r="C251" s="100"/>
      <c r="D251" s="100"/>
      <c r="E251" s="100"/>
      <c r="F251" s="100"/>
      <c r="G251" s="100"/>
      <c r="H251" s="155"/>
      <c r="I251" s="156"/>
      <c r="J251" s="157"/>
      <c r="K251" s="158"/>
      <c r="L251" s="159"/>
      <c r="M251" s="16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</row>
    <row r="252">
      <c r="A252" s="100"/>
      <c r="B252" s="154"/>
      <c r="C252" s="100"/>
      <c r="D252" s="100"/>
      <c r="E252" s="100"/>
      <c r="F252" s="100"/>
      <c r="G252" s="100"/>
      <c r="H252" s="155"/>
      <c r="I252" s="156"/>
      <c r="J252" s="157"/>
      <c r="K252" s="158"/>
      <c r="L252" s="159"/>
      <c r="M252" s="16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</row>
    <row r="253">
      <c r="A253" s="100"/>
      <c r="B253" s="154"/>
      <c r="C253" s="100"/>
      <c r="D253" s="100"/>
      <c r="E253" s="100"/>
      <c r="F253" s="100"/>
      <c r="G253" s="100"/>
      <c r="H253" s="155"/>
      <c r="I253" s="156"/>
      <c r="J253" s="157"/>
      <c r="K253" s="158"/>
      <c r="L253" s="159"/>
      <c r="M253" s="16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</row>
    <row r="254">
      <c r="A254" s="100"/>
      <c r="B254" s="154"/>
      <c r="C254" s="100"/>
      <c r="D254" s="100"/>
      <c r="E254" s="100"/>
      <c r="F254" s="100"/>
      <c r="G254" s="100"/>
      <c r="H254" s="155"/>
      <c r="I254" s="156"/>
      <c r="J254" s="157"/>
      <c r="K254" s="158"/>
      <c r="L254" s="159"/>
      <c r="M254" s="16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</row>
    <row r="255">
      <c r="A255" s="100"/>
      <c r="B255" s="154"/>
      <c r="C255" s="100"/>
      <c r="D255" s="100"/>
      <c r="E255" s="100"/>
      <c r="F255" s="100"/>
      <c r="G255" s="100"/>
      <c r="H255" s="155"/>
      <c r="I255" s="156"/>
      <c r="J255" s="157"/>
      <c r="K255" s="158"/>
      <c r="L255" s="159"/>
      <c r="M255" s="16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</row>
    <row r="256">
      <c r="A256" s="100"/>
      <c r="B256" s="154"/>
      <c r="C256" s="100"/>
      <c r="D256" s="100"/>
      <c r="E256" s="100"/>
      <c r="F256" s="100"/>
      <c r="G256" s="100"/>
      <c r="H256" s="155"/>
      <c r="I256" s="156"/>
      <c r="J256" s="157"/>
      <c r="K256" s="158"/>
      <c r="L256" s="159"/>
      <c r="M256" s="16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</row>
    <row r="257">
      <c r="A257" s="100"/>
      <c r="B257" s="154"/>
      <c r="C257" s="100"/>
      <c r="D257" s="100"/>
      <c r="E257" s="100"/>
      <c r="F257" s="100"/>
      <c r="G257" s="100"/>
      <c r="H257" s="155"/>
      <c r="I257" s="156"/>
      <c r="J257" s="157"/>
      <c r="K257" s="158"/>
      <c r="L257" s="159"/>
      <c r="M257" s="16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</row>
    <row r="258">
      <c r="A258" s="100"/>
      <c r="B258" s="154"/>
      <c r="C258" s="100"/>
      <c r="D258" s="100"/>
      <c r="E258" s="100"/>
      <c r="F258" s="100"/>
      <c r="G258" s="100"/>
      <c r="H258" s="155"/>
      <c r="I258" s="156"/>
      <c r="J258" s="157"/>
      <c r="K258" s="158"/>
      <c r="L258" s="159"/>
      <c r="M258" s="16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</row>
    <row r="259">
      <c r="A259" s="100"/>
      <c r="B259" s="154"/>
      <c r="C259" s="100"/>
      <c r="D259" s="100"/>
      <c r="E259" s="100"/>
      <c r="F259" s="100"/>
      <c r="G259" s="100"/>
      <c r="H259" s="155"/>
      <c r="I259" s="156"/>
      <c r="J259" s="157"/>
      <c r="K259" s="158"/>
      <c r="L259" s="159"/>
      <c r="M259" s="16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</row>
    <row r="260">
      <c r="A260" s="100"/>
      <c r="B260" s="154"/>
      <c r="C260" s="100"/>
      <c r="D260" s="100"/>
      <c r="E260" s="100"/>
      <c r="F260" s="100"/>
      <c r="G260" s="100"/>
      <c r="H260" s="155"/>
      <c r="I260" s="156"/>
      <c r="J260" s="157"/>
      <c r="K260" s="158"/>
      <c r="L260" s="159"/>
      <c r="M260" s="16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</row>
    <row r="261">
      <c r="A261" s="100"/>
      <c r="B261" s="154"/>
      <c r="C261" s="100"/>
      <c r="D261" s="100"/>
      <c r="E261" s="100"/>
      <c r="F261" s="100"/>
      <c r="G261" s="100"/>
      <c r="H261" s="155"/>
      <c r="I261" s="156"/>
      <c r="J261" s="157"/>
      <c r="K261" s="158"/>
      <c r="L261" s="159"/>
      <c r="M261" s="16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</row>
    <row r="262">
      <c r="A262" s="100"/>
      <c r="B262" s="154"/>
      <c r="C262" s="100"/>
      <c r="D262" s="100"/>
      <c r="E262" s="100"/>
      <c r="F262" s="100"/>
      <c r="G262" s="100"/>
      <c r="H262" s="155"/>
      <c r="I262" s="156"/>
      <c r="J262" s="157"/>
      <c r="K262" s="158"/>
      <c r="L262" s="159"/>
      <c r="M262" s="16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</row>
    <row r="263">
      <c r="A263" s="100"/>
      <c r="B263" s="154"/>
      <c r="C263" s="100"/>
      <c r="D263" s="100"/>
      <c r="E263" s="100"/>
      <c r="F263" s="100"/>
      <c r="G263" s="100"/>
      <c r="H263" s="155"/>
      <c r="I263" s="156"/>
      <c r="J263" s="157"/>
      <c r="K263" s="158"/>
      <c r="L263" s="159"/>
      <c r="M263" s="16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</row>
    <row r="264">
      <c r="A264" s="100"/>
      <c r="B264" s="154"/>
      <c r="C264" s="100"/>
      <c r="D264" s="100"/>
      <c r="E264" s="100"/>
      <c r="F264" s="100"/>
      <c r="G264" s="100"/>
      <c r="H264" s="155"/>
      <c r="I264" s="156"/>
      <c r="J264" s="157"/>
      <c r="K264" s="158"/>
      <c r="L264" s="159"/>
      <c r="M264" s="16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</row>
    <row r="265">
      <c r="A265" s="100"/>
      <c r="B265" s="154"/>
      <c r="C265" s="100"/>
      <c r="D265" s="100"/>
      <c r="E265" s="100"/>
      <c r="F265" s="100"/>
      <c r="G265" s="100"/>
      <c r="H265" s="155"/>
      <c r="I265" s="156"/>
      <c r="J265" s="157"/>
      <c r="K265" s="158"/>
      <c r="L265" s="159"/>
      <c r="M265" s="16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</row>
    <row r="266">
      <c r="A266" s="100"/>
      <c r="B266" s="154"/>
      <c r="C266" s="100"/>
      <c r="D266" s="100"/>
      <c r="E266" s="100"/>
      <c r="F266" s="100"/>
      <c r="G266" s="100"/>
      <c r="H266" s="155"/>
      <c r="I266" s="156"/>
      <c r="J266" s="157"/>
      <c r="K266" s="158"/>
      <c r="L266" s="159"/>
      <c r="M266" s="16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</row>
    <row r="267">
      <c r="A267" s="100"/>
      <c r="B267" s="154"/>
      <c r="C267" s="100"/>
      <c r="D267" s="100"/>
      <c r="E267" s="100"/>
      <c r="F267" s="100"/>
      <c r="G267" s="100"/>
      <c r="H267" s="155"/>
      <c r="I267" s="156"/>
      <c r="J267" s="157"/>
      <c r="K267" s="158"/>
      <c r="L267" s="159"/>
      <c r="M267" s="16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</row>
    <row r="268">
      <c r="A268" s="100"/>
      <c r="B268" s="154"/>
      <c r="C268" s="100"/>
      <c r="D268" s="100"/>
      <c r="E268" s="100"/>
      <c r="F268" s="100"/>
      <c r="G268" s="100"/>
      <c r="H268" s="155"/>
      <c r="I268" s="156"/>
      <c r="J268" s="157"/>
      <c r="K268" s="158"/>
      <c r="L268" s="159"/>
      <c r="M268" s="16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</row>
    <row r="269">
      <c r="A269" s="100"/>
      <c r="B269" s="154"/>
      <c r="C269" s="100"/>
      <c r="D269" s="100"/>
      <c r="E269" s="100"/>
      <c r="F269" s="100"/>
      <c r="G269" s="100"/>
      <c r="H269" s="155"/>
      <c r="I269" s="156"/>
      <c r="J269" s="157"/>
      <c r="K269" s="158"/>
      <c r="L269" s="159"/>
      <c r="M269" s="16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</row>
    <row r="270">
      <c r="A270" s="100"/>
      <c r="B270" s="154"/>
      <c r="C270" s="100"/>
      <c r="D270" s="100"/>
      <c r="E270" s="100"/>
      <c r="F270" s="100"/>
      <c r="G270" s="100"/>
      <c r="H270" s="155"/>
      <c r="I270" s="156"/>
      <c r="J270" s="157"/>
      <c r="K270" s="158"/>
      <c r="L270" s="159"/>
      <c r="M270" s="16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</row>
    <row r="271">
      <c r="A271" s="100"/>
      <c r="B271" s="154"/>
      <c r="C271" s="100"/>
      <c r="D271" s="100"/>
      <c r="E271" s="100"/>
      <c r="F271" s="100"/>
      <c r="G271" s="100"/>
      <c r="H271" s="155"/>
      <c r="I271" s="156"/>
      <c r="J271" s="157"/>
      <c r="K271" s="158"/>
      <c r="L271" s="159"/>
      <c r="M271" s="16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</row>
    <row r="272">
      <c r="A272" s="100"/>
      <c r="B272" s="154"/>
      <c r="C272" s="100"/>
      <c r="D272" s="100"/>
      <c r="E272" s="100"/>
      <c r="F272" s="100"/>
      <c r="G272" s="100"/>
      <c r="H272" s="155"/>
      <c r="I272" s="156"/>
      <c r="J272" s="157"/>
      <c r="K272" s="158"/>
      <c r="L272" s="159"/>
      <c r="M272" s="16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</row>
    <row r="273">
      <c r="A273" s="100"/>
      <c r="B273" s="154"/>
      <c r="C273" s="100"/>
      <c r="D273" s="100"/>
      <c r="E273" s="100"/>
      <c r="F273" s="100"/>
      <c r="G273" s="100"/>
      <c r="H273" s="155"/>
      <c r="I273" s="156"/>
      <c r="J273" s="157"/>
      <c r="K273" s="158"/>
      <c r="L273" s="159"/>
      <c r="M273" s="16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</row>
    <row r="274">
      <c r="A274" s="100"/>
      <c r="B274" s="154"/>
      <c r="C274" s="100"/>
      <c r="D274" s="100"/>
      <c r="E274" s="100"/>
      <c r="F274" s="100"/>
      <c r="G274" s="100"/>
      <c r="H274" s="155"/>
      <c r="I274" s="156"/>
      <c r="J274" s="157"/>
      <c r="K274" s="158"/>
      <c r="L274" s="159"/>
      <c r="M274" s="16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</row>
    <row r="275">
      <c r="A275" s="100"/>
      <c r="B275" s="154"/>
      <c r="C275" s="100"/>
      <c r="D275" s="100"/>
      <c r="E275" s="100"/>
      <c r="F275" s="100"/>
      <c r="G275" s="100"/>
      <c r="H275" s="155"/>
      <c r="I275" s="156"/>
      <c r="J275" s="157"/>
      <c r="K275" s="158"/>
      <c r="L275" s="159"/>
      <c r="M275" s="16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</row>
    <row r="276">
      <c r="A276" s="100"/>
      <c r="B276" s="154"/>
      <c r="C276" s="100"/>
      <c r="D276" s="100"/>
      <c r="E276" s="100"/>
      <c r="F276" s="100"/>
      <c r="G276" s="100"/>
      <c r="H276" s="155"/>
      <c r="I276" s="156"/>
      <c r="J276" s="157"/>
      <c r="K276" s="158"/>
      <c r="L276" s="159"/>
      <c r="M276" s="16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</row>
    <row r="277">
      <c r="A277" s="100"/>
      <c r="B277" s="154"/>
      <c r="C277" s="100"/>
      <c r="D277" s="100"/>
      <c r="E277" s="100"/>
      <c r="F277" s="100"/>
      <c r="G277" s="100"/>
      <c r="H277" s="155"/>
      <c r="I277" s="156"/>
      <c r="J277" s="157"/>
      <c r="K277" s="158"/>
      <c r="L277" s="159"/>
      <c r="M277" s="16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</row>
    <row r="278">
      <c r="A278" s="100"/>
      <c r="B278" s="154"/>
      <c r="C278" s="100"/>
      <c r="D278" s="100"/>
      <c r="E278" s="100"/>
      <c r="F278" s="100"/>
      <c r="G278" s="100"/>
      <c r="H278" s="155"/>
      <c r="I278" s="156"/>
      <c r="J278" s="157"/>
      <c r="K278" s="158"/>
      <c r="L278" s="159"/>
      <c r="M278" s="16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</row>
    <row r="279">
      <c r="A279" s="100"/>
      <c r="B279" s="154"/>
      <c r="C279" s="100"/>
      <c r="D279" s="100"/>
      <c r="E279" s="100"/>
      <c r="F279" s="100"/>
      <c r="G279" s="100"/>
      <c r="H279" s="155"/>
      <c r="I279" s="156"/>
      <c r="J279" s="157"/>
      <c r="K279" s="158"/>
      <c r="L279" s="159"/>
      <c r="M279" s="16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</row>
    <row r="280">
      <c r="A280" s="100"/>
      <c r="B280" s="154"/>
      <c r="C280" s="100"/>
      <c r="D280" s="100"/>
      <c r="E280" s="100"/>
      <c r="F280" s="100"/>
      <c r="G280" s="100"/>
      <c r="H280" s="155"/>
      <c r="I280" s="156"/>
      <c r="J280" s="157"/>
      <c r="K280" s="158"/>
      <c r="L280" s="159"/>
      <c r="M280" s="16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</row>
    <row r="281">
      <c r="A281" s="100"/>
      <c r="B281" s="154"/>
      <c r="C281" s="100"/>
      <c r="D281" s="100"/>
      <c r="E281" s="100"/>
      <c r="F281" s="100"/>
      <c r="G281" s="100"/>
      <c r="H281" s="155"/>
      <c r="I281" s="156"/>
      <c r="J281" s="157"/>
      <c r="K281" s="158"/>
      <c r="L281" s="159"/>
      <c r="M281" s="16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</row>
    <row r="282">
      <c r="A282" s="100"/>
      <c r="B282" s="154"/>
      <c r="C282" s="100"/>
      <c r="D282" s="100"/>
      <c r="E282" s="100"/>
      <c r="F282" s="100"/>
      <c r="G282" s="100"/>
      <c r="H282" s="155"/>
      <c r="I282" s="156"/>
      <c r="J282" s="157"/>
      <c r="K282" s="158"/>
      <c r="L282" s="159"/>
      <c r="M282" s="16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</row>
    <row r="283">
      <c r="A283" s="100"/>
      <c r="B283" s="154"/>
      <c r="C283" s="100"/>
      <c r="D283" s="100"/>
      <c r="E283" s="100"/>
      <c r="F283" s="100"/>
      <c r="G283" s="100"/>
      <c r="H283" s="155"/>
      <c r="I283" s="156"/>
      <c r="J283" s="157"/>
      <c r="K283" s="158"/>
      <c r="L283" s="159"/>
      <c r="M283" s="16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</row>
    <row r="284">
      <c r="A284" s="100"/>
      <c r="B284" s="154"/>
      <c r="C284" s="100"/>
      <c r="D284" s="100"/>
      <c r="E284" s="100"/>
      <c r="F284" s="100"/>
      <c r="G284" s="100"/>
      <c r="H284" s="155"/>
      <c r="I284" s="156"/>
      <c r="J284" s="157"/>
      <c r="K284" s="158"/>
      <c r="L284" s="159"/>
      <c r="M284" s="16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</row>
    <row r="285">
      <c r="A285" s="100"/>
      <c r="B285" s="154"/>
      <c r="C285" s="100"/>
      <c r="D285" s="100"/>
      <c r="E285" s="100"/>
      <c r="F285" s="100"/>
      <c r="G285" s="100"/>
      <c r="H285" s="155"/>
      <c r="I285" s="156"/>
      <c r="J285" s="157"/>
      <c r="K285" s="158"/>
      <c r="L285" s="159"/>
      <c r="M285" s="16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</row>
    <row r="286">
      <c r="A286" s="100"/>
      <c r="B286" s="154"/>
      <c r="C286" s="100"/>
      <c r="D286" s="100"/>
      <c r="E286" s="100"/>
      <c r="F286" s="100"/>
      <c r="G286" s="100"/>
      <c r="H286" s="155"/>
      <c r="I286" s="156"/>
      <c r="J286" s="157"/>
      <c r="K286" s="158"/>
      <c r="L286" s="159"/>
      <c r="M286" s="16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</row>
    <row r="287">
      <c r="A287" s="100"/>
      <c r="B287" s="154"/>
      <c r="C287" s="100"/>
      <c r="D287" s="100"/>
      <c r="E287" s="100"/>
      <c r="F287" s="100"/>
      <c r="G287" s="100"/>
      <c r="H287" s="155"/>
      <c r="I287" s="156"/>
      <c r="J287" s="157"/>
      <c r="K287" s="158"/>
      <c r="L287" s="159"/>
      <c r="M287" s="16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</row>
    <row r="288">
      <c r="A288" s="100"/>
      <c r="B288" s="154"/>
      <c r="C288" s="100"/>
      <c r="D288" s="100"/>
      <c r="E288" s="100"/>
      <c r="F288" s="100"/>
      <c r="G288" s="100"/>
      <c r="H288" s="155"/>
      <c r="I288" s="156"/>
      <c r="J288" s="157"/>
      <c r="K288" s="158"/>
      <c r="L288" s="159"/>
      <c r="M288" s="16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</row>
    <row r="289">
      <c r="A289" s="100"/>
      <c r="B289" s="154"/>
      <c r="C289" s="100"/>
      <c r="D289" s="100"/>
      <c r="E289" s="100"/>
      <c r="F289" s="100"/>
      <c r="G289" s="100"/>
      <c r="H289" s="155"/>
      <c r="I289" s="156"/>
      <c r="J289" s="157"/>
      <c r="K289" s="158"/>
      <c r="L289" s="159"/>
      <c r="M289" s="16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</row>
    <row r="290">
      <c r="A290" s="100"/>
      <c r="B290" s="154"/>
      <c r="C290" s="100"/>
      <c r="D290" s="100"/>
      <c r="E290" s="100"/>
      <c r="F290" s="100"/>
      <c r="G290" s="100"/>
      <c r="H290" s="155"/>
      <c r="I290" s="156"/>
      <c r="J290" s="157"/>
      <c r="K290" s="158"/>
      <c r="L290" s="159"/>
      <c r="M290" s="16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</row>
    <row r="291">
      <c r="A291" s="100"/>
      <c r="B291" s="154"/>
      <c r="C291" s="100"/>
      <c r="D291" s="100"/>
      <c r="E291" s="100"/>
      <c r="F291" s="100"/>
      <c r="G291" s="100"/>
      <c r="H291" s="155"/>
      <c r="I291" s="156"/>
      <c r="J291" s="157"/>
      <c r="K291" s="158"/>
      <c r="L291" s="159"/>
      <c r="M291" s="16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</row>
    <row r="292">
      <c r="A292" s="100"/>
      <c r="B292" s="154"/>
      <c r="C292" s="100"/>
      <c r="D292" s="100"/>
      <c r="E292" s="100"/>
      <c r="F292" s="100"/>
      <c r="G292" s="100"/>
      <c r="H292" s="155"/>
      <c r="I292" s="156"/>
      <c r="J292" s="157"/>
      <c r="K292" s="158"/>
      <c r="L292" s="159"/>
      <c r="M292" s="16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</row>
    <row r="293">
      <c r="A293" s="100"/>
      <c r="B293" s="154"/>
      <c r="C293" s="100"/>
      <c r="D293" s="100"/>
      <c r="E293" s="100"/>
      <c r="F293" s="100"/>
      <c r="G293" s="100"/>
      <c r="H293" s="155"/>
      <c r="I293" s="156"/>
      <c r="J293" s="157"/>
      <c r="K293" s="158"/>
      <c r="L293" s="159"/>
      <c r="M293" s="16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</row>
    <row r="294">
      <c r="A294" s="100"/>
      <c r="B294" s="154"/>
      <c r="C294" s="100"/>
      <c r="D294" s="100"/>
      <c r="E294" s="100"/>
      <c r="F294" s="100"/>
      <c r="G294" s="100"/>
      <c r="H294" s="155"/>
      <c r="I294" s="156"/>
      <c r="J294" s="157"/>
      <c r="K294" s="158"/>
      <c r="L294" s="159"/>
      <c r="M294" s="16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</row>
    <row r="295">
      <c r="A295" s="100"/>
      <c r="B295" s="154"/>
      <c r="C295" s="100"/>
      <c r="D295" s="100"/>
      <c r="E295" s="100"/>
      <c r="F295" s="100"/>
      <c r="G295" s="100"/>
      <c r="H295" s="155"/>
      <c r="I295" s="156"/>
      <c r="J295" s="157"/>
      <c r="K295" s="158"/>
      <c r="L295" s="159"/>
      <c r="M295" s="16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</row>
    <row r="296">
      <c r="A296" s="100"/>
      <c r="B296" s="154"/>
      <c r="C296" s="100"/>
      <c r="D296" s="100"/>
      <c r="E296" s="100"/>
      <c r="F296" s="100"/>
      <c r="G296" s="100"/>
      <c r="H296" s="155"/>
      <c r="I296" s="156"/>
      <c r="J296" s="157"/>
      <c r="K296" s="158"/>
      <c r="L296" s="159"/>
      <c r="M296" s="16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</row>
    <row r="297">
      <c r="A297" s="100"/>
      <c r="B297" s="154"/>
      <c r="C297" s="100"/>
      <c r="D297" s="100"/>
      <c r="E297" s="100"/>
      <c r="F297" s="100"/>
      <c r="G297" s="100"/>
      <c r="H297" s="155"/>
      <c r="I297" s="156"/>
      <c r="J297" s="157"/>
      <c r="K297" s="158"/>
      <c r="L297" s="159"/>
      <c r="M297" s="16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</row>
    <row r="298">
      <c r="A298" s="100"/>
      <c r="B298" s="154"/>
      <c r="C298" s="100"/>
      <c r="D298" s="100"/>
      <c r="E298" s="100"/>
      <c r="F298" s="100"/>
      <c r="G298" s="100"/>
      <c r="H298" s="155"/>
      <c r="I298" s="156"/>
      <c r="J298" s="157"/>
      <c r="K298" s="158"/>
      <c r="L298" s="159"/>
      <c r="M298" s="16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</row>
    <row r="299">
      <c r="A299" s="100"/>
      <c r="B299" s="154"/>
      <c r="C299" s="100"/>
      <c r="D299" s="100"/>
      <c r="E299" s="100"/>
      <c r="F299" s="100"/>
      <c r="G299" s="100"/>
      <c r="H299" s="155"/>
      <c r="I299" s="156"/>
      <c r="J299" s="157"/>
      <c r="K299" s="158"/>
      <c r="L299" s="159"/>
      <c r="M299" s="16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</row>
    <row r="300">
      <c r="A300" s="100"/>
      <c r="B300" s="154"/>
      <c r="C300" s="100"/>
      <c r="D300" s="100"/>
      <c r="E300" s="100"/>
      <c r="F300" s="100"/>
      <c r="G300" s="100"/>
      <c r="H300" s="155"/>
      <c r="I300" s="156"/>
      <c r="J300" s="157"/>
      <c r="K300" s="158"/>
      <c r="L300" s="159"/>
      <c r="M300" s="16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</row>
    <row r="301">
      <c r="A301" s="100"/>
      <c r="B301" s="154"/>
      <c r="C301" s="100"/>
      <c r="D301" s="100"/>
      <c r="E301" s="100"/>
      <c r="F301" s="100"/>
      <c r="G301" s="100"/>
      <c r="H301" s="155"/>
      <c r="I301" s="156"/>
      <c r="J301" s="157"/>
      <c r="K301" s="158"/>
      <c r="L301" s="159"/>
      <c r="M301" s="16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</row>
    <row r="302">
      <c r="A302" s="100"/>
      <c r="B302" s="154"/>
      <c r="C302" s="100"/>
      <c r="D302" s="100"/>
      <c r="E302" s="100"/>
      <c r="F302" s="100"/>
      <c r="G302" s="100"/>
      <c r="H302" s="155"/>
      <c r="I302" s="156"/>
      <c r="J302" s="157"/>
      <c r="K302" s="158"/>
      <c r="L302" s="159"/>
      <c r="M302" s="16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</row>
    <row r="303">
      <c r="A303" s="100"/>
      <c r="B303" s="154"/>
      <c r="C303" s="100"/>
      <c r="D303" s="100"/>
      <c r="E303" s="100"/>
      <c r="F303" s="100"/>
      <c r="G303" s="100"/>
      <c r="H303" s="155"/>
      <c r="I303" s="156"/>
      <c r="J303" s="157"/>
      <c r="K303" s="158"/>
      <c r="L303" s="159"/>
      <c r="M303" s="16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</row>
    <row r="304">
      <c r="A304" s="100"/>
      <c r="B304" s="154"/>
      <c r="C304" s="100"/>
      <c r="D304" s="100"/>
      <c r="E304" s="100"/>
      <c r="F304" s="100"/>
      <c r="G304" s="100"/>
      <c r="H304" s="155"/>
      <c r="I304" s="156"/>
      <c r="J304" s="157"/>
      <c r="K304" s="158"/>
      <c r="L304" s="159"/>
      <c r="M304" s="16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</row>
    <row r="305">
      <c r="A305" s="100"/>
      <c r="B305" s="154"/>
      <c r="C305" s="100"/>
      <c r="D305" s="100"/>
      <c r="E305" s="100"/>
      <c r="F305" s="100"/>
      <c r="G305" s="100"/>
      <c r="H305" s="155"/>
      <c r="I305" s="156"/>
      <c r="J305" s="157"/>
      <c r="K305" s="158"/>
      <c r="L305" s="159"/>
      <c r="M305" s="16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</row>
    <row r="306">
      <c r="A306" s="100"/>
      <c r="B306" s="154"/>
      <c r="C306" s="100"/>
      <c r="D306" s="100"/>
      <c r="E306" s="100"/>
      <c r="F306" s="100"/>
      <c r="G306" s="100"/>
      <c r="H306" s="155"/>
      <c r="I306" s="156"/>
      <c r="J306" s="157"/>
      <c r="K306" s="158"/>
      <c r="L306" s="159"/>
      <c r="M306" s="16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</row>
    <row r="307">
      <c r="A307" s="100"/>
      <c r="B307" s="154"/>
      <c r="C307" s="100"/>
      <c r="D307" s="100"/>
      <c r="E307" s="100"/>
      <c r="F307" s="100"/>
      <c r="G307" s="100"/>
      <c r="H307" s="155"/>
      <c r="I307" s="156"/>
      <c r="J307" s="157"/>
      <c r="K307" s="158"/>
      <c r="L307" s="159"/>
      <c r="M307" s="16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  <c r="AA307" s="100"/>
      <c r="AB307" s="100"/>
    </row>
    <row r="308">
      <c r="A308" s="100"/>
      <c r="B308" s="154"/>
      <c r="C308" s="100"/>
      <c r="D308" s="100"/>
      <c r="E308" s="100"/>
      <c r="F308" s="100"/>
      <c r="G308" s="100"/>
      <c r="H308" s="155"/>
      <c r="I308" s="156"/>
      <c r="J308" s="157"/>
      <c r="K308" s="158"/>
      <c r="L308" s="159"/>
      <c r="M308" s="16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  <c r="AA308" s="100"/>
      <c r="AB308" s="100"/>
    </row>
    <row r="309">
      <c r="A309" s="100"/>
      <c r="B309" s="154"/>
      <c r="C309" s="100"/>
      <c r="D309" s="100"/>
      <c r="E309" s="100"/>
      <c r="F309" s="100"/>
      <c r="G309" s="100"/>
      <c r="H309" s="155"/>
      <c r="I309" s="156"/>
      <c r="J309" s="157"/>
      <c r="K309" s="158"/>
      <c r="L309" s="159"/>
      <c r="M309" s="16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  <c r="AA309" s="100"/>
      <c r="AB309" s="100"/>
    </row>
    <row r="310">
      <c r="A310" s="100"/>
      <c r="B310" s="154"/>
      <c r="C310" s="100"/>
      <c r="D310" s="100"/>
      <c r="E310" s="100"/>
      <c r="F310" s="100"/>
      <c r="G310" s="100"/>
      <c r="H310" s="155"/>
      <c r="I310" s="156"/>
      <c r="J310" s="157"/>
      <c r="K310" s="158"/>
      <c r="L310" s="159"/>
      <c r="M310" s="16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  <c r="AA310" s="100"/>
      <c r="AB310" s="100"/>
    </row>
    <row r="311">
      <c r="A311" s="100"/>
      <c r="B311" s="154"/>
      <c r="C311" s="100"/>
      <c r="D311" s="100"/>
      <c r="E311" s="100"/>
      <c r="F311" s="100"/>
      <c r="G311" s="100"/>
      <c r="H311" s="155"/>
      <c r="I311" s="156"/>
      <c r="J311" s="157"/>
      <c r="K311" s="158"/>
      <c r="L311" s="159"/>
      <c r="M311" s="16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  <c r="AA311" s="100"/>
      <c r="AB311" s="100"/>
    </row>
    <row r="312">
      <c r="A312" s="100"/>
      <c r="B312" s="154"/>
      <c r="C312" s="100"/>
      <c r="D312" s="100"/>
      <c r="E312" s="100"/>
      <c r="F312" s="100"/>
      <c r="G312" s="100"/>
      <c r="H312" s="155"/>
      <c r="I312" s="156"/>
      <c r="J312" s="157"/>
      <c r="K312" s="158"/>
      <c r="L312" s="159"/>
      <c r="M312" s="16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  <c r="AA312" s="100"/>
      <c r="AB312" s="100"/>
    </row>
    <row r="313">
      <c r="A313" s="100"/>
      <c r="B313" s="154"/>
      <c r="C313" s="100"/>
      <c r="D313" s="100"/>
      <c r="E313" s="100"/>
      <c r="F313" s="100"/>
      <c r="G313" s="100"/>
      <c r="H313" s="155"/>
      <c r="I313" s="156"/>
      <c r="J313" s="157"/>
      <c r="K313" s="158"/>
      <c r="L313" s="159"/>
      <c r="M313" s="16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  <c r="AA313" s="100"/>
      <c r="AB313" s="100"/>
    </row>
    <row r="314">
      <c r="A314" s="100"/>
      <c r="B314" s="154"/>
      <c r="C314" s="100"/>
      <c r="D314" s="100"/>
      <c r="E314" s="100"/>
      <c r="F314" s="100"/>
      <c r="G314" s="100"/>
      <c r="H314" s="155"/>
      <c r="I314" s="156"/>
      <c r="J314" s="157"/>
      <c r="K314" s="158"/>
      <c r="L314" s="159"/>
      <c r="M314" s="16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</row>
    <row r="315">
      <c r="A315" s="100"/>
      <c r="B315" s="154"/>
      <c r="C315" s="100"/>
      <c r="D315" s="100"/>
      <c r="E315" s="100"/>
      <c r="F315" s="100"/>
      <c r="G315" s="100"/>
      <c r="H315" s="155"/>
      <c r="I315" s="156"/>
      <c r="J315" s="157"/>
      <c r="K315" s="158"/>
      <c r="L315" s="159"/>
      <c r="M315" s="16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</row>
    <row r="316">
      <c r="A316" s="100"/>
      <c r="B316" s="154"/>
      <c r="C316" s="100"/>
      <c r="D316" s="100"/>
      <c r="E316" s="100"/>
      <c r="F316" s="100"/>
      <c r="G316" s="100"/>
      <c r="H316" s="155"/>
      <c r="I316" s="156"/>
      <c r="J316" s="157"/>
      <c r="K316" s="158"/>
      <c r="L316" s="159"/>
      <c r="M316" s="16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</row>
    <row r="317">
      <c r="A317" s="100"/>
      <c r="B317" s="154"/>
      <c r="C317" s="100"/>
      <c r="D317" s="100"/>
      <c r="E317" s="100"/>
      <c r="F317" s="100"/>
      <c r="G317" s="100"/>
      <c r="H317" s="155"/>
      <c r="I317" s="156"/>
      <c r="J317" s="157"/>
      <c r="K317" s="158"/>
      <c r="L317" s="159"/>
      <c r="M317" s="16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</row>
    <row r="318">
      <c r="A318" s="100"/>
      <c r="B318" s="154"/>
      <c r="C318" s="100"/>
      <c r="D318" s="100"/>
      <c r="E318" s="100"/>
      <c r="F318" s="100"/>
      <c r="G318" s="100"/>
      <c r="H318" s="155"/>
      <c r="I318" s="156"/>
      <c r="J318" s="157"/>
      <c r="K318" s="158"/>
      <c r="L318" s="159"/>
      <c r="M318" s="16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</row>
    <row r="319">
      <c r="A319" s="100"/>
      <c r="B319" s="154"/>
      <c r="C319" s="100"/>
      <c r="D319" s="100"/>
      <c r="E319" s="100"/>
      <c r="F319" s="100"/>
      <c r="G319" s="100"/>
      <c r="H319" s="155"/>
      <c r="I319" s="156"/>
      <c r="J319" s="157"/>
      <c r="K319" s="158"/>
      <c r="L319" s="159"/>
      <c r="M319" s="16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  <c r="AA319" s="100"/>
      <c r="AB319" s="100"/>
    </row>
    <row r="320">
      <c r="A320" s="100"/>
      <c r="B320" s="154"/>
      <c r="C320" s="100"/>
      <c r="D320" s="100"/>
      <c r="E320" s="100"/>
      <c r="F320" s="100"/>
      <c r="G320" s="100"/>
      <c r="H320" s="155"/>
      <c r="I320" s="156"/>
      <c r="J320" s="157"/>
      <c r="K320" s="158"/>
      <c r="L320" s="159"/>
      <c r="M320" s="16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  <c r="AA320" s="100"/>
      <c r="AB320" s="100"/>
    </row>
    <row r="321">
      <c r="A321" s="100"/>
      <c r="B321" s="154"/>
      <c r="C321" s="100"/>
      <c r="D321" s="100"/>
      <c r="E321" s="100"/>
      <c r="F321" s="100"/>
      <c r="G321" s="100"/>
      <c r="H321" s="155"/>
      <c r="I321" s="156"/>
      <c r="J321" s="157"/>
      <c r="K321" s="158"/>
      <c r="L321" s="159"/>
      <c r="M321" s="16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  <c r="AA321" s="100"/>
      <c r="AB321" s="100"/>
    </row>
    <row r="322">
      <c r="A322" s="100"/>
      <c r="B322" s="154"/>
      <c r="C322" s="100"/>
      <c r="D322" s="100"/>
      <c r="E322" s="100"/>
      <c r="F322" s="100"/>
      <c r="G322" s="100"/>
      <c r="H322" s="155"/>
      <c r="I322" s="156"/>
      <c r="J322" s="157"/>
      <c r="K322" s="158"/>
      <c r="L322" s="159"/>
      <c r="M322" s="16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  <c r="AA322" s="100"/>
      <c r="AB322" s="100"/>
    </row>
    <row r="323">
      <c r="A323" s="100"/>
      <c r="B323" s="154"/>
      <c r="C323" s="100"/>
      <c r="D323" s="100"/>
      <c r="E323" s="100"/>
      <c r="F323" s="100"/>
      <c r="G323" s="100"/>
      <c r="H323" s="155"/>
      <c r="I323" s="156"/>
      <c r="J323" s="157"/>
      <c r="K323" s="158"/>
      <c r="L323" s="159"/>
      <c r="M323" s="16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  <c r="AA323" s="100"/>
      <c r="AB323" s="100"/>
    </row>
    <row r="324">
      <c r="A324" s="100"/>
      <c r="B324" s="154"/>
      <c r="C324" s="100"/>
      <c r="D324" s="100"/>
      <c r="E324" s="100"/>
      <c r="F324" s="100"/>
      <c r="G324" s="100"/>
      <c r="H324" s="155"/>
      <c r="I324" s="156"/>
      <c r="J324" s="157"/>
      <c r="K324" s="158"/>
      <c r="L324" s="159"/>
      <c r="M324" s="16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  <c r="AA324" s="100"/>
      <c r="AB324" s="100"/>
    </row>
    <row r="325">
      <c r="A325" s="100"/>
      <c r="B325" s="154"/>
      <c r="C325" s="100"/>
      <c r="D325" s="100"/>
      <c r="E325" s="100"/>
      <c r="F325" s="100"/>
      <c r="G325" s="100"/>
      <c r="H325" s="155"/>
      <c r="I325" s="156"/>
      <c r="J325" s="157"/>
      <c r="K325" s="158"/>
      <c r="L325" s="159"/>
      <c r="M325" s="16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  <c r="AA325" s="100"/>
      <c r="AB325" s="100"/>
    </row>
    <row r="326">
      <c r="A326" s="100"/>
      <c r="B326" s="154"/>
      <c r="C326" s="100"/>
      <c r="D326" s="100"/>
      <c r="E326" s="100"/>
      <c r="F326" s="100"/>
      <c r="G326" s="100"/>
      <c r="H326" s="155"/>
      <c r="I326" s="156"/>
      <c r="J326" s="157"/>
      <c r="K326" s="158"/>
      <c r="L326" s="159"/>
      <c r="M326" s="16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  <c r="AA326" s="100"/>
      <c r="AB326" s="100"/>
    </row>
    <row r="327">
      <c r="A327" s="100"/>
      <c r="B327" s="154"/>
      <c r="C327" s="100"/>
      <c r="D327" s="100"/>
      <c r="E327" s="100"/>
      <c r="F327" s="100"/>
      <c r="G327" s="100"/>
      <c r="H327" s="155"/>
      <c r="I327" s="156"/>
      <c r="J327" s="157"/>
      <c r="K327" s="158"/>
      <c r="L327" s="159"/>
      <c r="M327" s="16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  <c r="AA327" s="100"/>
      <c r="AB327" s="100"/>
    </row>
    <row r="328">
      <c r="A328" s="100"/>
      <c r="B328" s="154"/>
      <c r="C328" s="100"/>
      <c r="D328" s="100"/>
      <c r="E328" s="100"/>
      <c r="F328" s="100"/>
      <c r="G328" s="100"/>
      <c r="H328" s="155"/>
      <c r="I328" s="156"/>
      <c r="J328" s="157"/>
      <c r="K328" s="158"/>
      <c r="L328" s="159"/>
      <c r="M328" s="16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  <c r="AA328" s="100"/>
      <c r="AB328" s="100"/>
    </row>
    <row r="329">
      <c r="A329" s="100"/>
      <c r="B329" s="154"/>
      <c r="C329" s="100"/>
      <c r="D329" s="100"/>
      <c r="E329" s="100"/>
      <c r="F329" s="100"/>
      <c r="G329" s="100"/>
      <c r="H329" s="155"/>
      <c r="I329" s="156"/>
      <c r="J329" s="157"/>
      <c r="K329" s="158"/>
      <c r="L329" s="159"/>
      <c r="M329" s="16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  <c r="AA329" s="100"/>
      <c r="AB329" s="100"/>
    </row>
    <row r="330">
      <c r="A330" s="100"/>
      <c r="B330" s="154"/>
      <c r="C330" s="100"/>
      <c r="D330" s="100"/>
      <c r="E330" s="100"/>
      <c r="F330" s="100"/>
      <c r="G330" s="100"/>
      <c r="H330" s="155"/>
      <c r="I330" s="156"/>
      <c r="J330" s="157"/>
      <c r="K330" s="158"/>
      <c r="L330" s="159"/>
      <c r="M330" s="16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  <c r="AA330" s="100"/>
      <c r="AB330" s="100"/>
    </row>
    <row r="331">
      <c r="A331" s="100"/>
      <c r="B331" s="154"/>
      <c r="C331" s="100"/>
      <c r="D331" s="100"/>
      <c r="E331" s="100"/>
      <c r="F331" s="100"/>
      <c r="G331" s="100"/>
      <c r="H331" s="155"/>
      <c r="I331" s="156"/>
      <c r="J331" s="157"/>
      <c r="K331" s="158"/>
      <c r="L331" s="159"/>
      <c r="M331" s="16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</row>
    <row r="332">
      <c r="A332" s="100"/>
      <c r="B332" s="154"/>
      <c r="C332" s="100"/>
      <c r="D332" s="100"/>
      <c r="E332" s="100"/>
      <c r="F332" s="100"/>
      <c r="G332" s="100"/>
      <c r="H332" s="155"/>
      <c r="I332" s="156"/>
      <c r="J332" s="157"/>
      <c r="K332" s="158"/>
      <c r="L332" s="159"/>
      <c r="M332" s="16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</row>
    <row r="333">
      <c r="A333" s="100"/>
      <c r="B333" s="154"/>
      <c r="C333" s="100"/>
      <c r="D333" s="100"/>
      <c r="E333" s="100"/>
      <c r="F333" s="100"/>
      <c r="G333" s="100"/>
      <c r="H333" s="155"/>
      <c r="I333" s="156"/>
      <c r="J333" s="157"/>
      <c r="K333" s="158"/>
      <c r="L333" s="159"/>
      <c r="M333" s="16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</row>
    <row r="334">
      <c r="A334" s="100"/>
      <c r="B334" s="154"/>
      <c r="C334" s="100"/>
      <c r="D334" s="100"/>
      <c r="E334" s="100"/>
      <c r="F334" s="100"/>
      <c r="G334" s="100"/>
      <c r="H334" s="155"/>
      <c r="I334" s="156"/>
      <c r="J334" s="157"/>
      <c r="K334" s="158"/>
      <c r="L334" s="159"/>
      <c r="M334" s="16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</row>
    <row r="335">
      <c r="A335" s="100"/>
      <c r="B335" s="154"/>
      <c r="C335" s="100"/>
      <c r="D335" s="100"/>
      <c r="E335" s="100"/>
      <c r="F335" s="100"/>
      <c r="G335" s="100"/>
      <c r="H335" s="155"/>
      <c r="I335" s="156"/>
      <c r="J335" s="157"/>
      <c r="K335" s="158"/>
      <c r="L335" s="159"/>
      <c r="M335" s="16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</row>
    <row r="336">
      <c r="A336" s="100"/>
      <c r="B336" s="154"/>
      <c r="C336" s="100"/>
      <c r="D336" s="100"/>
      <c r="E336" s="100"/>
      <c r="F336" s="100"/>
      <c r="G336" s="100"/>
      <c r="H336" s="155"/>
      <c r="I336" s="156"/>
      <c r="J336" s="157"/>
      <c r="K336" s="158"/>
      <c r="L336" s="159"/>
      <c r="M336" s="16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</row>
    <row r="337">
      <c r="A337" s="100"/>
      <c r="B337" s="154"/>
      <c r="C337" s="100"/>
      <c r="D337" s="100"/>
      <c r="E337" s="100"/>
      <c r="F337" s="100"/>
      <c r="G337" s="100"/>
      <c r="H337" s="155"/>
      <c r="I337" s="156"/>
      <c r="J337" s="157"/>
      <c r="K337" s="158"/>
      <c r="L337" s="159"/>
      <c r="M337" s="16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</row>
    <row r="338">
      <c r="A338" s="100"/>
      <c r="B338" s="154"/>
      <c r="C338" s="100"/>
      <c r="D338" s="100"/>
      <c r="E338" s="100"/>
      <c r="F338" s="100"/>
      <c r="G338" s="100"/>
      <c r="H338" s="155"/>
      <c r="I338" s="156"/>
      <c r="J338" s="157"/>
      <c r="K338" s="158"/>
      <c r="L338" s="159"/>
      <c r="M338" s="16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</row>
    <row r="339">
      <c r="A339" s="100"/>
      <c r="B339" s="154"/>
      <c r="C339" s="100"/>
      <c r="D339" s="100"/>
      <c r="E339" s="100"/>
      <c r="F339" s="100"/>
      <c r="G339" s="100"/>
      <c r="H339" s="155"/>
      <c r="I339" s="156"/>
      <c r="J339" s="157"/>
      <c r="K339" s="158"/>
      <c r="L339" s="159"/>
      <c r="M339" s="16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</row>
    <row r="340">
      <c r="A340" s="100"/>
      <c r="B340" s="154"/>
      <c r="C340" s="100"/>
      <c r="D340" s="100"/>
      <c r="E340" s="100"/>
      <c r="F340" s="100"/>
      <c r="G340" s="100"/>
      <c r="H340" s="155"/>
      <c r="I340" s="156"/>
      <c r="J340" s="157"/>
      <c r="K340" s="158"/>
      <c r="L340" s="159"/>
      <c r="M340" s="16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</row>
    <row r="341">
      <c r="A341" s="100"/>
      <c r="B341" s="154"/>
      <c r="C341" s="100"/>
      <c r="D341" s="100"/>
      <c r="E341" s="100"/>
      <c r="F341" s="100"/>
      <c r="G341" s="100"/>
      <c r="H341" s="155"/>
      <c r="I341" s="156"/>
      <c r="J341" s="157"/>
      <c r="K341" s="158"/>
      <c r="L341" s="159"/>
      <c r="M341" s="16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</row>
    <row r="342">
      <c r="A342" s="100"/>
      <c r="B342" s="154"/>
      <c r="C342" s="100"/>
      <c r="D342" s="100"/>
      <c r="E342" s="100"/>
      <c r="F342" s="100"/>
      <c r="G342" s="100"/>
      <c r="H342" s="155"/>
      <c r="I342" s="156"/>
      <c r="J342" s="157"/>
      <c r="K342" s="158"/>
      <c r="L342" s="159"/>
      <c r="M342" s="16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</row>
    <row r="343">
      <c r="A343" s="100"/>
      <c r="B343" s="154"/>
      <c r="C343" s="100"/>
      <c r="D343" s="100"/>
      <c r="E343" s="100"/>
      <c r="F343" s="100"/>
      <c r="G343" s="100"/>
      <c r="H343" s="155"/>
      <c r="I343" s="156"/>
      <c r="J343" s="157"/>
      <c r="K343" s="158"/>
      <c r="L343" s="159"/>
      <c r="M343" s="16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</row>
    <row r="344">
      <c r="A344" s="100"/>
      <c r="B344" s="154"/>
      <c r="C344" s="100"/>
      <c r="D344" s="100"/>
      <c r="E344" s="100"/>
      <c r="F344" s="100"/>
      <c r="G344" s="100"/>
      <c r="H344" s="155"/>
      <c r="I344" s="156"/>
      <c r="J344" s="157"/>
      <c r="K344" s="158"/>
      <c r="L344" s="159"/>
      <c r="M344" s="16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</row>
    <row r="345">
      <c r="A345" s="100"/>
      <c r="B345" s="154"/>
      <c r="C345" s="100"/>
      <c r="D345" s="100"/>
      <c r="E345" s="100"/>
      <c r="F345" s="100"/>
      <c r="G345" s="100"/>
      <c r="H345" s="155"/>
      <c r="I345" s="156"/>
      <c r="J345" s="157"/>
      <c r="K345" s="158"/>
      <c r="L345" s="159"/>
      <c r="M345" s="16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</row>
    <row r="346">
      <c r="A346" s="100"/>
      <c r="B346" s="154"/>
      <c r="C346" s="100"/>
      <c r="D346" s="100"/>
      <c r="E346" s="100"/>
      <c r="F346" s="100"/>
      <c r="G346" s="100"/>
      <c r="H346" s="155"/>
      <c r="I346" s="156"/>
      <c r="J346" s="157"/>
      <c r="K346" s="158"/>
      <c r="L346" s="159"/>
      <c r="M346" s="16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</row>
    <row r="347">
      <c r="A347" s="100"/>
      <c r="B347" s="154"/>
      <c r="C347" s="100"/>
      <c r="D347" s="100"/>
      <c r="E347" s="100"/>
      <c r="F347" s="100"/>
      <c r="G347" s="100"/>
      <c r="H347" s="155"/>
      <c r="I347" s="156"/>
      <c r="J347" s="157"/>
      <c r="K347" s="158"/>
      <c r="L347" s="159"/>
      <c r="M347" s="16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</row>
    <row r="348">
      <c r="A348" s="100"/>
      <c r="B348" s="154"/>
      <c r="C348" s="100"/>
      <c r="D348" s="100"/>
      <c r="E348" s="100"/>
      <c r="F348" s="100"/>
      <c r="G348" s="100"/>
      <c r="H348" s="155"/>
      <c r="I348" s="156"/>
      <c r="J348" s="157"/>
      <c r="K348" s="158"/>
      <c r="L348" s="159"/>
      <c r="M348" s="16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</row>
    <row r="349">
      <c r="A349" s="100"/>
      <c r="B349" s="154"/>
      <c r="C349" s="100"/>
      <c r="D349" s="100"/>
      <c r="E349" s="100"/>
      <c r="F349" s="100"/>
      <c r="G349" s="100"/>
      <c r="H349" s="155"/>
      <c r="I349" s="156"/>
      <c r="J349" s="157"/>
      <c r="K349" s="158"/>
      <c r="L349" s="159"/>
      <c r="M349" s="16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</row>
    <row r="350">
      <c r="A350" s="100"/>
      <c r="B350" s="154"/>
      <c r="C350" s="100"/>
      <c r="D350" s="100"/>
      <c r="E350" s="100"/>
      <c r="F350" s="100"/>
      <c r="G350" s="100"/>
      <c r="H350" s="155"/>
      <c r="I350" s="156"/>
      <c r="J350" s="157"/>
      <c r="K350" s="158"/>
      <c r="L350" s="159"/>
      <c r="M350" s="16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</row>
    <row r="351">
      <c r="A351" s="100"/>
      <c r="B351" s="154"/>
      <c r="C351" s="100"/>
      <c r="D351" s="100"/>
      <c r="E351" s="100"/>
      <c r="F351" s="100"/>
      <c r="G351" s="100"/>
      <c r="H351" s="155"/>
      <c r="I351" s="156"/>
      <c r="J351" s="157"/>
      <c r="K351" s="158"/>
      <c r="L351" s="159"/>
      <c r="M351" s="16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</row>
    <row r="352">
      <c r="A352" s="100"/>
      <c r="B352" s="154"/>
      <c r="C352" s="100"/>
      <c r="D352" s="100"/>
      <c r="E352" s="100"/>
      <c r="F352" s="100"/>
      <c r="G352" s="100"/>
      <c r="H352" s="155"/>
      <c r="I352" s="156"/>
      <c r="J352" s="157"/>
      <c r="K352" s="158"/>
      <c r="L352" s="159"/>
      <c r="M352" s="16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</row>
    <row r="353">
      <c r="A353" s="100"/>
      <c r="B353" s="154"/>
      <c r="C353" s="100"/>
      <c r="D353" s="100"/>
      <c r="E353" s="100"/>
      <c r="F353" s="100"/>
      <c r="G353" s="100"/>
      <c r="H353" s="155"/>
      <c r="I353" s="156"/>
      <c r="J353" s="157"/>
      <c r="K353" s="158"/>
      <c r="L353" s="159"/>
      <c r="M353" s="16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</row>
    <row r="354">
      <c r="A354" s="100"/>
      <c r="B354" s="154"/>
      <c r="C354" s="100"/>
      <c r="D354" s="100"/>
      <c r="E354" s="100"/>
      <c r="F354" s="100"/>
      <c r="G354" s="100"/>
      <c r="H354" s="155"/>
      <c r="I354" s="156"/>
      <c r="J354" s="157"/>
      <c r="K354" s="158"/>
      <c r="L354" s="159"/>
      <c r="M354" s="16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</row>
    <row r="355">
      <c r="A355" s="100"/>
      <c r="B355" s="154"/>
      <c r="C355" s="100"/>
      <c r="D355" s="100"/>
      <c r="E355" s="100"/>
      <c r="F355" s="100"/>
      <c r="G355" s="100"/>
      <c r="H355" s="155"/>
      <c r="I355" s="156"/>
      <c r="J355" s="157"/>
      <c r="K355" s="158"/>
      <c r="L355" s="159"/>
      <c r="M355" s="16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</row>
    <row r="356">
      <c r="A356" s="100"/>
      <c r="B356" s="154"/>
      <c r="C356" s="100"/>
      <c r="D356" s="100"/>
      <c r="E356" s="100"/>
      <c r="F356" s="100"/>
      <c r="G356" s="100"/>
      <c r="H356" s="155"/>
      <c r="I356" s="156"/>
      <c r="J356" s="157"/>
      <c r="K356" s="158"/>
      <c r="L356" s="159"/>
      <c r="M356" s="16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</row>
    <row r="357">
      <c r="A357" s="100"/>
      <c r="B357" s="154"/>
      <c r="C357" s="100"/>
      <c r="D357" s="100"/>
      <c r="E357" s="100"/>
      <c r="F357" s="100"/>
      <c r="G357" s="100"/>
      <c r="H357" s="155"/>
      <c r="I357" s="156"/>
      <c r="J357" s="157"/>
      <c r="K357" s="158"/>
      <c r="L357" s="159"/>
      <c r="M357" s="16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</row>
    <row r="358">
      <c r="A358" s="100"/>
      <c r="B358" s="154"/>
      <c r="C358" s="100"/>
      <c r="D358" s="100"/>
      <c r="E358" s="100"/>
      <c r="F358" s="100"/>
      <c r="G358" s="100"/>
      <c r="H358" s="155"/>
      <c r="I358" s="156"/>
      <c r="J358" s="157"/>
      <c r="K358" s="158"/>
      <c r="L358" s="159"/>
      <c r="M358" s="16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</row>
    <row r="359">
      <c r="A359" s="100"/>
      <c r="B359" s="154"/>
      <c r="C359" s="100"/>
      <c r="D359" s="100"/>
      <c r="E359" s="100"/>
      <c r="F359" s="100"/>
      <c r="G359" s="100"/>
      <c r="H359" s="155"/>
      <c r="I359" s="156"/>
      <c r="J359" s="157"/>
      <c r="K359" s="158"/>
      <c r="L359" s="159"/>
      <c r="M359" s="16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</row>
    <row r="360">
      <c r="A360" s="100"/>
      <c r="B360" s="154"/>
      <c r="C360" s="100"/>
      <c r="D360" s="100"/>
      <c r="E360" s="100"/>
      <c r="F360" s="100"/>
      <c r="G360" s="100"/>
      <c r="H360" s="155"/>
      <c r="I360" s="156"/>
      <c r="J360" s="157"/>
      <c r="K360" s="158"/>
      <c r="L360" s="159"/>
      <c r="M360" s="16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</row>
    <row r="361">
      <c r="A361" s="100"/>
      <c r="B361" s="154"/>
      <c r="C361" s="100"/>
      <c r="D361" s="100"/>
      <c r="E361" s="100"/>
      <c r="F361" s="100"/>
      <c r="G361" s="100"/>
      <c r="H361" s="155"/>
      <c r="I361" s="156"/>
      <c r="J361" s="157"/>
      <c r="K361" s="158"/>
      <c r="L361" s="159"/>
      <c r="M361" s="16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</row>
    <row r="362">
      <c r="A362" s="100"/>
      <c r="B362" s="154"/>
      <c r="C362" s="100"/>
      <c r="D362" s="100"/>
      <c r="E362" s="100"/>
      <c r="F362" s="100"/>
      <c r="G362" s="100"/>
      <c r="H362" s="155"/>
      <c r="I362" s="156"/>
      <c r="J362" s="157"/>
      <c r="K362" s="158"/>
      <c r="L362" s="159"/>
      <c r="M362" s="16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</row>
    <row r="363">
      <c r="A363" s="100"/>
      <c r="B363" s="154"/>
      <c r="C363" s="100"/>
      <c r="D363" s="100"/>
      <c r="E363" s="100"/>
      <c r="F363" s="100"/>
      <c r="G363" s="100"/>
      <c r="H363" s="155"/>
      <c r="I363" s="156"/>
      <c r="J363" s="157"/>
      <c r="K363" s="158"/>
      <c r="L363" s="159"/>
      <c r="M363" s="16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</row>
    <row r="364">
      <c r="A364" s="100"/>
      <c r="B364" s="154"/>
      <c r="C364" s="100"/>
      <c r="D364" s="100"/>
      <c r="E364" s="100"/>
      <c r="F364" s="100"/>
      <c r="G364" s="100"/>
      <c r="H364" s="155"/>
      <c r="I364" s="156"/>
      <c r="J364" s="157"/>
      <c r="K364" s="158"/>
      <c r="L364" s="159"/>
      <c r="M364" s="16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</row>
    <row r="365">
      <c r="A365" s="100"/>
      <c r="B365" s="154"/>
      <c r="C365" s="100"/>
      <c r="D365" s="100"/>
      <c r="E365" s="100"/>
      <c r="F365" s="100"/>
      <c r="G365" s="100"/>
      <c r="H365" s="155"/>
      <c r="I365" s="156"/>
      <c r="J365" s="157"/>
      <c r="K365" s="158"/>
      <c r="L365" s="159"/>
      <c r="M365" s="16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</row>
    <row r="366">
      <c r="A366" s="100"/>
      <c r="B366" s="154"/>
      <c r="C366" s="100"/>
      <c r="D366" s="100"/>
      <c r="E366" s="100"/>
      <c r="F366" s="100"/>
      <c r="G366" s="100"/>
      <c r="H366" s="155"/>
      <c r="I366" s="156"/>
      <c r="J366" s="157"/>
      <c r="K366" s="158"/>
      <c r="L366" s="159"/>
      <c r="M366" s="16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</row>
    <row r="367">
      <c r="A367" s="100"/>
      <c r="B367" s="154"/>
      <c r="C367" s="100"/>
      <c r="D367" s="100"/>
      <c r="E367" s="100"/>
      <c r="F367" s="100"/>
      <c r="G367" s="100"/>
      <c r="H367" s="155"/>
      <c r="I367" s="156"/>
      <c r="J367" s="157"/>
      <c r="K367" s="158"/>
      <c r="L367" s="159"/>
      <c r="M367" s="16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</row>
    <row r="368">
      <c r="A368" s="100"/>
      <c r="B368" s="154"/>
      <c r="C368" s="100"/>
      <c r="D368" s="100"/>
      <c r="E368" s="100"/>
      <c r="F368" s="100"/>
      <c r="G368" s="100"/>
      <c r="H368" s="155"/>
      <c r="I368" s="156"/>
      <c r="J368" s="157"/>
      <c r="K368" s="158"/>
      <c r="L368" s="159"/>
      <c r="M368" s="16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</row>
    <row r="369">
      <c r="A369" s="100"/>
      <c r="B369" s="154"/>
      <c r="C369" s="100"/>
      <c r="D369" s="100"/>
      <c r="E369" s="100"/>
      <c r="F369" s="100"/>
      <c r="G369" s="100"/>
      <c r="H369" s="155"/>
      <c r="I369" s="156"/>
      <c r="J369" s="157"/>
      <c r="K369" s="158"/>
      <c r="L369" s="159"/>
      <c r="M369" s="16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</row>
    <row r="370">
      <c r="A370" s="100"/>
      <c r="B370" s="154"/>
      <c r="C370" s="100"/>
      <c r="D370" s="100"/>
      <c r="E370" s="100"/>
      <c r="F370" s="100"/>
      <c r="G370" s="100"/>
      <c r="H370" s="155"/>
      <c r="I370" s="156"/>
      <c r="J370" s="157"/>
      <c r="K370" s="158"/>
      <c r="L370" s="159"/>
      <c r="M370" s="16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</row>
    <row r="371">
      <c r="A371" s="100"/>
      <c r="B371" s="154"/>
      <c r="C371" s="100"/>
      <c r="D371" s="100"/>
      <c r="E371" s="100"/>
      <c r="F371" s="100"/>
      <c r="G371" s="100"/>
      <c r="H371" s="155"/>
      <c r="I371" s="156"/>
      <c r="J371" s="157"/>
      <c r="K371" s="158"/>
      <c r="L371" s="159"/>
      <c r="M371" s="16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</row>
    <row r="372">
      <c r="A372" s="100"/>
      <c r="B372" s="154"/>
      <c r="C372" s="100"/>
      <c r="D372" s="100"/>
      <c r="E372" s="100"/>
      <c r="F372" s="100"/>
      <c r="G372" s="100"/>
      <c r="H372" s="155"/>
      <c r="I372" s="156"/>
      <c r="J372" s="157"/>
      <c r="K372" s="158"/>
      <c r="L372" s="159"/>
      <c r="M372" s="16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</row>
    <row r="373">
      <c r="A373" s="100"/>
      <c r="B373" s="154"/>
      <c r="C373" s="100"/>
      <c r="D373" s="100"/>
      <c r="E373" s="100"/>
      <c r="F373" s="100"/>
      <c r="G373" s="100"/>
      <c r="H373" s="155"/>
      <c r="I373" s="156"/>
      <c r="J373" s="157"/>
      <c r="K373" s="158"/>
      <c r="L373" s="159"/>
      <c r="M373" s="16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</row>
    <row r="374">
      <c r="A374" s="100"/>
      <c r="B374" s="154"/>
      <c r="C374" s="100"/>
      <c r="D374" s="100"/>
      <c r="E374" s="100"/>
      <c r="F374" s="100"/>
      <c r="G374" s="100"/>
      <c r="H374" s="155"/>
      <c r="I374" s="156"/>
      <c r="J374" s="157"/>
      <c r="K374" s="158"/>
      <c r="L374" s="159"/>
      <c r="M374" s="16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</row>
    <row r="375">
      <c r="A375" s="100"/>
      <c r="B375" s="154"/>
      <c r="C375" s="100"/>
      <c r="D375" s="100"/>
      <c r="E375" s="100"/>
      <c r="F375" s="100"/>
      <c r="G375" s="100"/>
      <c r="H375" s="155"/>
      <c r="I375" s="156"/>
      <c r="J375" s="157"/>
      <c r="K375" s="158"/>
      <c r="L375" s="159"/>
      <c r="M375" s="16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</row>
    <row r="376">
      <c r="A376" s="100"/>
      <c r="B376" s="154"/>
      <c r="C376" s="100"/>
      <c r="D376" s="100"/>
      <c r="E376" s="100"/>
      <c r="F376" s="100"/>
      <c r="G376" s="100"/>
      <c r="H376" s="155"/>
      <c r="I376" s="156"/>
      <c r="J376" s="157"/>
      <c r="K376" s="158"/>
      <c r="L376" s="159"/>
      <c r="M376" s="16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</row>
    <row r="377">
      <c r="A377" s="100"/>
      <c r="B377" s="154"/>
      <c r="C377" s="100"/>
      <c r="D377" s="100"/>
      <c r="E377" s="100"/>
      <c r="F377" s="100"/>
      <c r="G377" s="100"/>
      <c r="H377" s="155"/>
      <c r="I377" s="156"/>
      <c r="J377" s="157"/>
      <c r="K377" s="158"/>
      <c r="L377" s="159"/>
      <c r="M377" s="16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</row>
    <row r="378">
      <c r="A378" s="100"/>
      <c r="B378" s="154"/>
      <c r="C378" s="100"/>
      <c r="D378" s="100"/>
      <c r="E378" s="100"/>
      <c r="F378" s="100"/>
      <c r="G378" s="100"/>
      <c r="H378" s="155"/>
      <c r="I378" s="156"/>
      <c r="J378" s="157"/>
      <c r="K378" s="158"/>
      <c r="L378" s="159"/>
      <c r="M378" s="16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</row>
    <row r="379">
      <c r="A379" s="100"/>
      <c r="B379" s="154"/>
      <c r="C379" s="100"/>
      <c r="D379" s="100"/>
      <c r="E379" s="100"/>
      <c r="F379" s="100"/>
      <c r="G379" s="100"/>
      <c r="H379" s="155"/>
      <c r="I379" s="156"/>
      <c r="J379" s="157"/>
      <c r="K379" s="158"/>
      <c r="L379" s="159"/>
      <c r="M379" s="16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</row>
    <row r="380">
      <c r="A380" s="100"/>
      <c r="B380" s="154"/>
      <c r="C380" s="100"/>
      <c r="D380" s="100"/>
      <c r="E380" s="100"/>
      <c r="F380" s="100"/>
      <c r="G380" s="100"/>
      <c r="H380" s="155"/>
      <c r="I380" s="156"/>
      <c r="J380" s="157"/>
      <c r="K380" s="158"/>
      <c r="L380" s="159"/>
      <c r="M380" s="16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</row>
    <row r="381">
      <c r="A381" s="100"/>
      <c r="B381" s="154"/>
      <c r="C381" s="100"/>
      <c r="D381" s="100"/>
      <c r="E381" s="100"/>
      <c r="F381" s="100"/>
      <c r="G381" s="100"/>
      <c r="H381" s="155"/>
      <c r="I381" s="156"/>
      <c r="J381" s="157"/>
      <c r="K381" s="158"/>
      <c r="L381" s="159"/>
      <c r="M381" s="16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</row>
    <row r="382">
      <c r="A382" s="100"/>
      <c r="B382" s="154"/>
      <c r="C382" s="100"/>
      <c r="D382" s="100"/>
      <c r="E382" s="100"/>
      <c r="F382" s="100"/>
      <c r="G382" s="100"/>
      <c r="H382" s="155"/>
      <c r="I382" s="156"/>
      <c r="J382" s="157"/>
      <c r="K382" s="158"/>
      <c r="L382" s="159"/>
      <c r="M382" s="16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</row>
    <row r="383">
      <c r="A383" s="100"/>
      <c r="B383" s="154"/>
      <c r="C383" s="100"/>
      <c r="D383" s="100"/>
      <c r="E383" s="100"/>
      <c r="F383" s="100"/>
      <c r="G383" s="100"/>
      <c r="H383" s="155"/>
      <c r="I383" s="156"/>
      <c r="J383" s="157"/>
      <c r="K383" s="158"/>
      <c r="L383" s="159"/>
      <c r="M383" s="16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</row>
    <row r="384">
      <c r="A384" s="100"/>
      <c r="B384" s="154"/>
      <c r="C384" s="100"/>
      <c r="D384" s="100"/>
      <c r="E384" s="100"/>
      <c r="F384" s="100"/>
      <c r="G384" s="100"/>
      <c r="H384" s="155"/>
      <c r="I384" s="156"/>
      <c r="J384" s="157"/>
      <c r="K384" s="158"/>
      <c r="L384" s="159"/>
      <c r="M384" s="16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</row>
    <row r="385">
      <c r="A385" s="100"/>
      <c r="B385" s="154"/>
      <c r="C385" s="100"/>
      <c r="D385" s="100"/>
      <c r="E385" s="100"/>
      <c r="F385" s="100"/>
      <c r="G385" s="100"/>
      <c r="H385" s="155"/>
      <c r="I385" s="156"/>
      <c r="J385" s="157"/>
      <c r="K385" s="158"/>
      <c r="L385" s="159"/>
      <c r="M385" s="16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</row>
    <row r="386">
      <c r="A386" s="100"/>
      <c r="B386" s="154"/>
      <c r="C386" s="100"/>
      <c r="D386" s="100"/>
      <c r="E386" s="100"/>
      <c r="F386" s="100"/>
      <c r="G386" s="100"/>
      <c r="H386" s="155"/>
      <c r="I386" s="156"/>
      <c r="J386" s="157"/>
      <c r="K386" s="158"/>
      <c r="L386" s="159"/>
      <c r="M386" s="16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</row>
    <row r="387">
      <c r="A387" s="100"/>
      <c r="B387" s="154"/>
      <c r="C387" s="100"/>
      <c r="D387" s="100"/>
      <c r="E387" s="100"/>
      <c r="F387" s="100"/>
      <c r="G387" s="100"/>
      <c r="H387" s="155"/>
      <c r="I387" s="156"/>
      <c r="J387" s="157"/>
      <c r="K387" s="158"/>
      <c r="L387" s="159"/>
      <c r="M387" s="16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</row>
    <row r="388">
      <c r="A388" s="100"/>
      <c r="B388" s="154"/>
      <c r="C388" s="100"/>
      <c r="D388" s="100"/>
      <c r="E388" s="100"/>
      <c r="F388" s="100"/>
      <c r="G388" s="100"/>
      <c r="H388" s="155"/>
      <c r="I388" s="156"/>
      <c r="J388" s="157"/>
      <c r="K388" s="158"/>
      <c r="L388" s="159"/>
      <c r="M388" s="16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</row>
    <row r="389">
      <c r="A389" s="100"/>
      <c r="B389" s="154"/>
      <c r="C389" s="100"/>
      <c r="D389" s="100"/>
      <c r="E389" s="100"/>
      <c r="F389" s="100"/>
      <c r="G389" s="100"/>
      <c r="H389" s="155"/>
      <c r="I389" s="156"/>
      <c r="J389" s="157"/>
      <c r="K389" s="158"/>
      <c r="L389" s="159"/>
      <c r="M389" s="16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</row>
    <row r="390">
      <c r="A390" s="100"/>
      <c r="B390" s="154"/>
      <c r="C390" s="100"/>
      <c r="D390" s="100"/>
      <c r="E390" s="100"/>
      <c r="F390" s="100"/>
      <c r="G390" s="100"/>
      <c r="H390" s="155"/>
      <c r="I390" s="156"/>
      <c r="J390" s="157"/>
      <c r="K390" s="158"/>
      <c r="L390" s="159"/>
      <c r="M390" s="16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</row>
    <row r="391">
      <c r="A391" s="100"/>
      <c r="B391" s="154"/>
      <c r="C391" s="100"/>
      <c r="D391" s="100"/>
      <c r="E391" s="100"/>
      <c r="F391" s="100"/>
      <c r="G391" s="100"/>
      <c r="H391" s="155"/>
      <c r="I391" s="156"/>
      <c r="J391" s="157"/>
      <c r="K391" s="158"/>
      <c r="L391" s="159"/>
      <c r="M391" s="16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</row>
    <row r="392">
      <c r="A392" s="100"/>
      <c r="B392" s="154"/>
      <c r="C392" s="100"/>
      <c r="D392" s="100"/>
      <c r="E392" s="100"/>
      <c r="F392" s="100"/>
      <c r="G392" s="100"/>
      <c r="H392" s="155"/>
      <c r="I392" s="156"/>
      <c r="J392" s="157"/>
      <c r="K392" s="158"/>
      <c r="L392" s="159"/>
      <c r="M392" s="16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</row>
    <row r="393">
      <c r="A393" s="100"/>
      <c r="B393" s="154"/>
      <c r="C393" s="100"/>
      <c r="D393" s="100"/>
      <c r="E393" s="100"/>
      <c r="F393" s="100"/>
      <c r="G393" s="100"/>
      <c r="H393" s="155"/>
      <c r="I393" s="156"/>
      <c r="J393" s="157"/>
      <c r="K393" s="158"/>
      <c r="L393" s="159"/>
      <c r="M393" s="16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</row>
    <row r="394">
      <c r="A394" s="100"/>
      <c r="B394" s="154"/>
      <c r="C394" s="100"/>
      <c r="D394" s="100"/>
      <c r="E394" s="100"/>
      <c r="F394" s="100"/>
      <c r="G394" s="100"/>
      <c r="H394" s="155"/>
      <c r="I394" s="156"/>
      <c r="J394" s="157"/>
      <c r="K394" s="158"/>
      <c r="L394" s="159"/>
      <c r="M394" s="16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</row>
    <row r="395">
      <c r="A395" s="100"/>
      <c r="B395" s="154"/>
      <c r="C395" s="100"/>
      <c r="D395" s="100"/>
      <c r="E395" s="100"/>
      <c r="F395" s="100"/>
      <c r="G395" s="100"/>
      <c r="H395" s="155"/>
      <c r="I395" s="156"/>
      <c r="J395" s="157"/>
      <c r="K395" s="158"/>
      <c r="L395" s="159"/>
      <c r="M395" s="16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</row>
    <row r="396">
      <c r="A396" s="100"/>
      <c r="B396" s="154"/>
      <c r="C396" s="100"/>
      <c r="D396" s="100"/>
      <c r="E396" s="100"/>
      <c r="F396" s="100"/>
      <c r="G396" s="100"/>
      <c r="H396" s="155"/>
      <c r="I396" s="156"/>
      <c r="J396" s="157"/>
      <c r="K396" s="158"/>
      <c r="L396" s="159"/>
      <c r="M396" s="16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</row>
    <row r="397">
      <c r="A397" s="100"/>
      <c r="B397" s="154"/>
      <c r="C397" s="100"/>
      <c r="D397" s="100"/>
      <c r="E397" s="100"/>
      <c r="F397" s="100"/>
      <c r="G397" s="100"/>
      <c r="H397" s="155"/>
      <c r="I397" s="156"/>
      <c r="J397" s="157"/>
      <c r="K397" s="158"/>
      <c r="L397" s="159"/>
      <c r="M397" s="16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</row>
    <row r="398">
      <c r="A398" s="100"/>
      <c r="B398" s="154"/>
      <c r="C398" s="100"/>
      <c r="D398" s="100"/>
      <c r="E398" s="100"/>
      <c r="F398" s="100"/>
      <c r="G398" s="100"/>
      <c r="H398" s="155"/>
      <c r="I398" s="156"/>
      <c r="J398" s="157"/>
      <c r="K398" s="158"/>
      <c r="L398" s="159"/>
      <c r="M398" s="16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</row>
    <row r="399">
      <c r="A399" s="100"/>
      <c r="B399" s="154"/>
      <c r="C399" s="100"/>
      <c r="D399" s="100"/>
      <c r="E399" s="100"/>
      <c r="F399" s="100"/>
      <c r="G399" s="100"/>
      <c r="H399" s="155"/>
      <c r="I399" s="156"/>
      <c r="J399" s="157"/>
      <c r="K399" s="158"/>
      <c r="L399" s="159"/>
      <c r="M399" s="16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</row>
    <row r="400">
      <c r="A400" s="100"/>
      <c r="B400" s="154"/>
      <c r="C400" s="100"/>
      <c r="D400" s="100"/>
      <c r="E400" s="100"/>
      <c r="F400" s="100"/>
      <c r="G400" s="100"/>
      <c r="H400" s="155"/>
      <c r="I400" s="156"/>
      <c r="J400" s="157"/>
      <c r="K400" s="158"/>
      <c r="L400" s="159"/>
      <c r="M400" s="16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</row>
    <row r="401">
      <c r="A401" s="100"/>
      <c r="B401" s="154"/>
      <c r="C401" s="100"/>
      <c r="D401" s="100"/>
      <c r="E401" s="100"/>
      <c r="F401" s="100"/>
      <c r="G401" s="100"/>
      <c r="H401" s="155"/>
      <c r="I401" s="156"/>
      <c r="J401" s="157"/>
      <c r="K401" s="158"/>
      <c r="L401" s="159"/>
      <c r="M401" s="16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</row>
    <row r="402">
      <c r="A402" s="100"/>
      <c r="B402" s="154"/>
      <c r="C402" s="100"/>
      <c r="D402" s="100"/>
      <c r="E402" s="100"/>
      <c r="F402" s="100"/>
      <c r="G402" s="100"/>
      <c r="H402" s="155"/>
      <c r="I402" s="156"/>
      <c r="J402" s="157"/>
      <c r="K402" s="158"/>
      <c r="L402" s="159"/>
      <c r="M402" s="16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</row>
    <row r="403">
      <c r="A403" s="100"/>
      <c r="B403" s="154"/>
      <c r="C403" s="100"/>
      <c r="D403" s="100"/>
      <c r="E403" s="100"/>
      <c r="F403" s="100"/>
      <c r="G403" s="100"/>
      <c r="H403" s="155"/>
      <c r="I403" s="156"/>
      <c r="J403" s="157"/>
      <c r="K403" s="158"/>
      <c r="L403" s="159"/>
      <c r="M403" s="16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</row>
    <row r="404">
      <c r="A404" s="100"/>
      <c r="B404" s="154"/>
      <c r="C404" s="100"/>
      <c r="D404" s="100"/>
      <c r="E404" s="100"/>
      <c r="F404" s="100"/>
      <c r="G404" s="100"/>
      <c r="H404" s="155"/>
      <c r="I404" s="156"/>
      <c r="J404" s="157"/>
      <c r="K404" s="158"/>
      <c r="L404" s="159"/>
      <c r="M404" s="16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</row>
    <row r="405">
      <c r="A405" s="100"/>
      <c r="B405" s="154"/>
      <c r="C405" s="100"/>
      <c r="D405" s="100"/>
      <c r="E405" s="100"/>
      <c r="F405" s="100"/>
      <c r="G405" s="100"/>
      <c r="H405" s="155"/>
      <c r="I405" s="156"/>
      <c r="J405" s="157"/>
      <c r="K405" s="158"/>
      <c r="L405" s="159"/>
      <c r="M405" s="16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</row>
    <row r="406">
      <c r="A406" s="100"/>
      <c r="B406" s="154"/>
      <c r="C406" s="100"/>
      <c r="D406" s="100"/>
      <c r="E406" s="100"/>
      <c r="F406" s="100"/>
      <c r="G406" s="100"/>
      <c r="H406" s="155"/>
      <c r="I406" s="156"/>
      <c r="J406" s="157"/>
      <c r="K406" s="158"/>
      <c r="L406" s="159"/>
      <c r="M406" s="16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</row>
    <row r="407">
      <c r="A407" s="100"/>
      <c r="B407" s="154"/>
      <c r="C407" s="100"/>
      <c r="D407" s="100"/>
      <c r="E407" s="100"/>
      <c r="F407" s="100"/>
      <c r="G407" s="100"/>
      <c r="H407" s="155"/>
      <c r="I407" s="156"/>
      <c r="J407" s="157"/>
      <c r="K407" s="158"/>
      <c r="L407" s="159"/>
      <c r="M407" s="16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</row>
    <row r="408">
      <c r="A408" s="100"/>
      <c r="B408" s="154"/>
      <c r="C408" s="100"/>
      <c r="D408" s="100"/>
      <c r="E408" s="100"/>
      <c r="F408" s="100"/>
      <c r="G408" s="100"/>
      <c r="H408" s="155"/>
      <c r="I408" s="156"/>
      <c r="J408" s="157"/>
      <c r="K408" s="158"/>
      <c r="L408" s="159"/>
      <c r="M408" s="16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</row>
    <row r="409">
      <c r="A409" s="100"/>
      <c r="B409" s="154"/>
      <c r="C409" s="100"/>
      <c r="D409" s="100"/>
      <c r="E409" s="100"/>
      <c r="F409" s="100"/>
      <c r="G409" s="100"/>
      <c r="H409" s="155"/>
      <c r="I409" s="156"/>
      <c r="J409" s="157"/>
      <c r="K409" s="158"/>
      <c r="L409" s="159"/>
      <c r="M409" s="16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</row>
    <row r="410">
      <c r="A410" s="100"/>
      <c r="B410" s="154"/>
      <c r="C410" s="100"/>
      <c r="D410" s="100"/>
      <c r="E410" s="100"/>
      <c r="F410" s="100"/>
      <c r="G410" s="100"/>
      <c r="H410" s="155"/>
      <c r="I410" s="156"/>
      <c r="J410" s="157"/>
      <c r="K410" s="158"/>
      <c r="L410" s="159"/>
      <c r="M410" s="16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</row>
    <row r="411">
      <c r="A411" s="100"/>
      <c r="B411" s="154"/>
      <c r="C411" s="100"/>
      <c r="D411" s="100"/>
      <c r="E411" s="100"/>
      <c r="F411" s="100"/>
      <c r="G411" s="100"/>
      <c r="H411" s="155"/>
      <c r="I411" s="156"/>
      <c r="J411" s="157"/>
      <c r="K411" s="158"/>
      <c r="L411" s="159"/>
      <c r="M411" s="16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</row>
    <row r="412">
      <c r="A412" s="100"/>
      <c r="B412" s="154"/>
      <c r="C412" s="100"/>
      <c r="D412" s="100"/>
      <c r="E412" s="100"/>
      <c r="F412" s="100"/>
      <c r="G412" s="100"/>
      <c r="H412" s="155"/>
      <c r="I412" s="156"/>
      <c r="J412" s="157"/>
      <c r="K412" s="158"/>
      <c r="L412" s="159"/>
      <c r="M412" s="16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</row>
    <row r="413">
      <c r="A413" s="100"/>
      <c r="B413" s="154"/>
      <c r="C413" s="100"/>
      <c r="D413" s="100"/>
      <c r="E413" s="100"/>
      <c r="F413" s="100"/>
      <c r="G413" s="100"/>
      <c r="H413" s="155"/>
      <c r="I413" s="156"/>
      <c r="J413" s="157"/>
      <c r="K413" s="158"/>
      <c r="L413" s="159"/>
      <c r="M413" s="16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</row>
    <row r="414">
      <c r="A414" s="100"/>
      <c r="B414" s="154"/>
      <c r="C414" s="100"/>
      <c r="D414" s="100"/>
      <c r="E414" s="100"/>
      <c r="F414" s="100"/>
      <c r="G414" s="100"/>
      <c r="H414" s="155"/>
      <c r="I414" s="156"/>
      <c r="J414" s="157"/>
      <c r="K414" s="158"/>
      <c r="L414" s="159"/>
      <c r="M414" s="16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</row>
    <row r="415">
      <c r="A415" s="100"/>
      <c r="B415" s="154"/>
      <c r="C415" s="100"/>
      <c r="D415" s="100"/>
      <c r="E415" s="100"/>
      <c r="F415" s="100"/>
      <c r="G415" s="100"/>
      <c r="H415" s="155"/>
      <c r="I415" s="156"/>
      <c r="J415" s="157"/>
      <c r="K415" s="158"/>
      <c r="L415" s="159"/>
      <c r="M415" s="16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</row>
    <row r="416">
      <c r="A416" s="100"/>
      <c r="B416" s="154"/>
      <c r="C416" s="100"/>
      <c r="D416" s="100"/>
      <c r="E416" s="100"/>
      <c r="F416" s="100"/>
      <c r="G416" s="100"/>
      <c r="H416" s="155"/>
      <c r="I416" s="156"/>
      <c r="J416" s="157"/>
      <c r="K416" s="158"/>
      <c r="L416" s="159"/>
      <c r="M416" s="16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</row>
    <row r="417">
      <c r="A417" s="100"/>
      <c r="B417" s="154"/>
      <c r="C417" s="100"/>
      <c r="D417" s="100"/>
      <c r="E417" s="100"/>
      <c r="F417" s="100"/>
      <c r="G417" s="100"/>
      <c r="H417" s="155"/>
      <c r="I417" s="156"/>
      <c r="J417" s="157"/>
      <c r="K417" s="158"/>
      <c r="L417" s="159"/>
      <c r="M417" s="16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</row>
    <row r="418">
      <c r="A418" s="100"/>
      <c r="B418" s="154"/>
      <c r="C418" s="100"/>
      <c r="D418" s="100"/>
      <c r="E418" s="100"/>
      <c r="F418" s="100"/>
      <c r="G418" s="100"/>
      <c r="H418" s="155"/>
      <c r="I418" s="156"/>
      <c r="J418" s="157"/>
      <c r="K418" s="158"/>
      <c r="L418" s="159"/>
      <c r="M418" s="16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</row>
    <row r="419">
      <c r="A419" s="100"/>
      <c r="B419" s="154"/>
      <c r="C419" s="100"/>
      <c r="D419" s="100"/>
      <c r="E419" s="100"/>
      <c r="F419" s="100"/>
      <c r="G419" s="100"/>
      <c r="H419" s="155"/>
      <c r="I419" s="156"/>
      <c r="J419" s="157"/>
      <c r="K419" s="158"/>
      <c r="L419" s="159"/>
      <c r="M419" s="16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</row>
    <row r="420">
      <c r="A420" s="100"/>
      <c r="B420" s="154"/>
      <c r="C420" s="100"/>
      <c r="D420" s="100"/>
      <c r="E420" s="100"/>
      <c r="F420" s="100"/>
      <c r="G420" s="100"/>
      <c r="H420" s="155"/>
      <c r="I420" s="156"/>
      <c r="J420" s="157"/>
      <c r="K420" s="158"/>
      <c r="L420" s="159"/>
      <c r="M420" s="16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</row>
    <row r="421">
      <c r="A421" s="100"/>
      <c r="B421" s="154"/>
      <c r="C421" s="100"/>
      <c r="D421" s="100"/>
      <c r="E421" s="100"/>
      <c r="F421" s="100"/>
      <c r="G421" s="100"/>
      <c r="H421" s="155"/>
      <c r="I421" s="156"/>
      <c r="J421" s="157"/>
      <c r="K421" s="158"/>
      <c r="L421" s="159"/>
      <c r="M421" s="16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</row>
    <row r="422">
      <c r="A422" s="100"/>
      <c r="B422" s="154"/>
      <c r="C422" s="100"/>
      <c r="D422" s="100"/>
      <c r="E422" s="100"/>
      <c r="F422" s="100"/>
      <c r="G422" s="100"/>
      <c r="H422" s="155"/>
      <c r="I422" s="156"/>
      <c r="J422" s="157"/>
      <c r="K422" s="158"/>
      <c r="L422" s="159"/>
      <c r="M422" s="16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</row>
    <row r="423">
      <c r="A423" s="100"/>
      <c r="B423" s="154"/>
      <c r="C423" s="100"/>
      <c r="D423" s="100"/>
      <c r="E423" s="100"/>
      <c r="F423" s="100"/>
      <c r="G423" s="100"/>
      <c r="H423" s="155"/>
      <c r="I423" s="156"/>
      <c r="J423" s="157"/>
      <c r="K423" s="158"/>
      <c r="L423" s="159"/>
      <c r="M423" s="16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</row>
    <row r="424">
      <c r="A424" s="100"/>
      <c r="B424" s="154"/>
      <c r="C424" s="100"/>
      <c r="D424" s="100"/>
      <c r="E424" s="100"/>
      <c r="F424" s="100"/>
      <c r="G424" s="100"/>
      <c r="H424" s="155"/>
      <c r="I424" s="156"/>
      <c r="J424" s="157"/>
      <c r="K424" s="158"/>
      <c r="L424" s="159"/>
      <c r="M424" s="16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</row>
    <row r="425">
      <c r="A425" s="100"/>
      <c r="B425" s="154"/>
      <c r="C425" s="100"/>
      <c r="D425" s="100"/>
      <c r="E425" s="100"/>
      <c r="F425" s="100"/>
      <c r="G425" s="100"/>
      <c r="H425" s="155"/>
      <c r="I425" s="156"/>
      <c r="J425" s="157"/>
      <c r="K425" s="158"/>
      <c r="L425" s="159"/>
      <c r="M425" s="16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</row>
    <row r="426">
      <c r="A426" s="100"/>
      <c r="B426" s="154"/>
      <c r="C426" s="100"/>
      <c r="D426" s="100"/>
      <c r="E426" s="100"/>
      <c r="F426" s="100"/>
      <c r="G426" s="100"/>
      <c r="H426" s="155"/>
      <c r="I426" s="156"/>
      <c r="J426" s="157"/>
      <c r="K426" s="158"/>
      <c r="L426" s="159"/>
      <c r="M426" s="16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</row>
    <row r="427">
      <c r="A427" s="100"/>
      <c r="B427" s="154"/>
      <c r="C427" s="100"/>
      <c r="D427" s="100"/>
      <c r="E427" s="100"/>
      <c r="F427" s="100"/>
      <c r="G427" s="100"/>
      <c r="H427" s="155"/>
      <c r="I427" s="156"/>
      <c r="J427" s="157"/>
      <c r="K427" s="158"/>
      <c r="L427" s="159"/>
      <c r="M427" s="16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</row>
    <row r="428">
      <c r="A428" s="100"/>
      <c r="B428" s="154"/>
      <c r="C428" s="100"/>
      <c r="D428" s="100"/>
      <c r="E428" s="100"/>
      <c r="F428" s="100"/>
      <c r="G428" s="100"/>
      <c r="H428" s="155"/>
      <c r="I428" s="156"/>
      <c r="J428" s="157"/>
      <c r="K428" s="158"/>
      <c r="L428" s="159"/>
      <c r="M428" s="16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</row>
    <row r="429">
      <c r="A429" s="100"/>
      <c r="B429" s="154"/>
      <c r="C429" s="100"/>
      <c r="D429" s="100"/>
      <c r="E429" s="100"/>
      <c r="F429" s="100"/>
      <c r="G429" s="100"/>
      <c r="H429" s="155"/>
      <c r="I429" s="156"/>
      <c r="J429" s="157"/>
      <c r="K429" s="158"/>
      <c r="L429" s="159"/>
      <c r="M429" s="16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</row>
    <row r="430">
      <c r="A430" s="100"/>
      <c r="B430" s="154"/>
      <c r="C430" s="100"/>
      <c r="D430" s="100"/>
      <c r="E430" s="100"/>
      <c r="F430" s="100"/>
      <c r="G430" s="100"/>
      <c r="H430" s="155"/>
      <c r="I430" s="156"/>
      <c r="J430" s="157"/>
      <c r="K430" s="158"/>
      <c r="L430" s="159"/>
      <c r="M430" s="16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</row>
    <row r="431">
      <c r="A431" s="100"/>
      <c r="B431" s="154"/>
      <c r="C431" s="100"/>
      <c r="D431" s="100"/>
      <c r="E431" s="100"/>
      <c r="F431" s="100"/>
      <c r="G431" s="100"/>
      <c r="H431" s="155"/>
      <c r="I431" s="156"/>
      <c r="J431" s="157"/>
      <c r="K431" s="158"/>
      <c r="L431" s="159"/>
      <c r="M431" s="16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</row>
    <row r="432">
      <c r="A432" s="100"/>
      <c r="B432" s="154"/>
      <c r="C432" s="100"/>
      <c r="D432" s="100"/>
      <c r="E432" s="100"/>
      <c r="F432" s="100"/>
      <c r="G432" s="100"/>
      <c r="H432" s="155"/>
      <c r="I432" s="156"/>
      <c r="J432" s="157"/>
      <c r="K432" s="158"/>
      <c r="L432" s="159"/>
      <c r="M432" s="16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</row>
    <row r="433">
      <c r="A433" s="100"/>
      <c r="B433" s="154"/>
      <c r="C433" s="100"/>
      <c r="D433" s="100"/>
      <c r="E433" s="100"/>
      <c r="F433" s="100"/>
      <c r="G433" s="100"/>
      <c r="H433" s="155"/>
      <c r="I433" s="156"/>
      <c r="J433" s="157"/>
      <c r="K433" s="158"/>
      <c r="L433" s="159"/>
      <c r="M433" s="16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</row>
    <row r="434">
      <c r="A434" s="100"/>
      <c r="B434" s="154"/>
      <c r="C434" s="100"/>
      <c r="D434" s="100"/>
      <c r="E434" s="100"/>
      <c r="F434" s="100"/>
      <c r="G434" s="100"/>
      <c r="H434" s="155"/>
      <c r="I434" s="156"/>
      <c r="J434" s="157"/>
      <c r="K434" s="158"/>
      <c r="L434" s="159"/>
      <c r="M434" s="16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</row>
    <row r="435">
      <c r="A435" s="100"/>
      <c r="B435" s="154"/>
      <c r="C435" s="100"/>
      <c r="D435" s="100"/>
      <c r="E435" s="100"/>
      <c r="F435" s="100"/>
      <c r="G435" s="100"/>
      <c r="H435" s="155"/>
      <c r="I435" s="156"/>
      <c r="J435" s="157"/>
      <c r="K435" s="158"/>
      <c r="L435" s="159"/>
      <c r="M435" s="16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</row>
    <row r="436">
      <c r="A436" s="100"/>
      <c r="B436" s="154"/>
      <c r="C436" s="100"/>
      <c r="D436" s="100"/>
      <c r="E436" s="100"/>
      <c r="F436" s="100"/>
      <c r="G436" s="100"/>
      <c r="H436" s="155"/>
      <c r="I436" s="156"/>
      <c r="J436" s="157"/>
      <c r="K436" s="158"/>
      <c r="L436" s="159"/>
      <c r="M436" s="16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</row>
    <row r="437">
      <c r="A437" s="100"/>
      <c r="B437" s="154"/>
      <c r="C437" s="100"/>
      <c r="D437" s="100"/>
      <c r="E437" s="100"/>
      <c r="F437" s="100"/>
      <c r="G437" s="100"/>
      <c r="H437" s="155"/>
      <c r="I437" s="156"/>
      <c r="J437" s="157"/>
      <c r="K437" s="158"/>
      <c r="L437" s="159"/>
      <c r="M437" s="16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</row>
    <row r="438">
      <c r="A438" s="100"/>
      <c r="B438" s="154"/>
      <c r="C438" s="100"/>
      <c r="D438" s="100"/>
      <c r="E438" s="100"/>
      <c r="F438" s="100"/>
      <c r="G438" s="100"/>
      <c r="H438" s="155"/>
      <c r="I438" s="156"/>
      <c r="J438" s="157"/>
      <c r="K438" s="158"/>
      <c r="L438" s="159"/>
      <c r="M438" s="16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</row>
    <row r="439">
      <c r="A439" s="100"/>
      <c r="B439" s="154"/>
      <c r="C439" s="100"/>
      <c r="D439" s="100"/>
      <c r="E439" s="100"/>
      <c r="F439" s="100"/>
      <c r="G439" s="100"/>
      <c r="H439" s="155"/>
      <c r="I439" s="156"/>
      <c r="J439" s="157"/>
      <c r="K439" s="158"/>
      <c r="L439" s="159"/>
      <c r="M439" s="16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</row>
    <row r="440">
      <c r="A440" s="100"/>
      <c r="B440" s="154"/>
      <c r="C440" s="100"/>
      <c r="D440" s="100"/>
      <c r="E440" s="100"/>
      <c r="F440" s="100"/>
      <c r="G440" s="100"/>
      <c r="H440" s="155"/>
      <c r="I440" s="156"/>
      <c r="J440" s="157"/>
      <c r="K440" s="158"/>
      <c r="L440" s="159"/>
      <c r="M440" s="16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</row>
    <row r="441">
      <c r="A441" s="100"/>
      <c r="B441" s="154"/>
      <c r="C441" s="100"/>
      <c r="D441" s="100"/>
      <c r="E441" s="100"/>
      <c r="F441" s="100"/>
      <c r="G441" s="100"/>
      <c r="H441" s="155"/>
      <c r="I441" s="156"/>
      <c r="J441" s="157"/>
      <c r="K441" s="158"/>
      <c r="L441" s="159"/>
      <c r="M441" s="16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</row>
    <row r="442">
      <c r="A442" s="100"/>
      <c r="B442" s="154"/>
      <c r="C442" s="100"/>
      <c r="D442" s="100"/>
      <c r="E442" s="100"/>
      <c r="F442" s="100"/>
      <c r="G442" s="100"/>
      <c r="H442" s="155"/>
      <c r="I442" s="156"/>
      <c r="J442" s="157"/>
      <c r="K442" s="158"/>
      <c r="L442" s="159"/>
      <c r="M442" s="16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</row>
    <row r="443">
      <c r="A443" s="100"/>
      <c r="B443" s="154"/>
      <c r="C443" s="100"/>
      <c r="D443" s="100"/>
      <c r="E443" s="100"/>
      <c r="F443" s="100"/>
      <c r="G443" s="100"/>
      <c r="H443" s="155"/>
      <c r="I443" s="156"/>
      <c r="J443" s="157"/>
      <c r="K443" s="158"/>
      <c r="L443" s="159"/>
      <c r="M443" s="16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</row>
    <row r="444">
      <c r="A444" s="100"/>
      <c r="B444" s="154"/>
      <c r="C444" s="100"/>
      <c r="D444" s="100"/>
      <c r="E444" s="100"/>
      <c r="F444" s="100"/>
      <c r="G444" s="100"/>
      <c r="H444" s="155"/>
      <c r="I444" s="156"/>
      <c r="J444" s="157"/>
      <c r="K444" s="158"/>
      <c r="L444" s="159"/>
      <c r="M444" s="16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</row>
    <row r="445">
      <c r="A445" s="100"/>
      <c r="B445" s="154"/>
      <c r="C445" s="100"/>
      <c r="D445" s="100"/>
      <c r="E445" s="100"/>
      <c r="F445" s="100"/>
      <c r="G445" s="100"/>
      <c r="H445" s="155"/>
      <c r="I445" s="156"/>
      <c r="J445" s="157"/>
      <c r="K445" s="158"/>
      <c r="L445" s="159"/>
      <c r="M445" s="16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</row>
    <row r="446">
      <c r="A446" s="100"/>
      <c r="B446" s="154"/>
      <c r="C446" s="100"/>
      <c r="D446" s="100"/>
      <c r="E446" s="100"/>
      <c r="F446" s="100"/>
      <c r="G446" s="100"/>
      <c r="H446" s="155"/>
      <c r="I446" s="156"/>
      <c r="J446" s="157"/>
      <c r="K446" s="158"/>
      <c r="L446" s="159"/>
      <c r="M446" s="16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</row>
    <row r="447">
      <c r="A447" s="100"/>
      <c r="B447" s="154"/>
      <c r="C447" s="100"/>
      <c r="D447" s="100"/>
      <c r="E447" s="100"/>
      <c r="F447" s="100"/>
      <c r="G447" s="100"/>
      <c r="H447" s="155"/>
      <c r="I447" s="156"/>
      <c r="J447" s="157"/>
      <c r="K447" s="158"/>
      <c r="L447" s="159"/>
      <c r="M447" s="16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</row>
    <row r="448">
      <c r="A448" s="100"/>
      <c r="B448" s="154"/>
      <c r="C448" s="100"/>
      <c r="D448" s="100"/>
      <c r="E448" s="100"/>
      <c r="F448" s="100"/>
      <c r="G448" s="100"/>
      <c r="H448" s="155"/>
      <c r="I448" s="156"/>
      <c r="J448" s="157"/>
      <c r="K448" s="158"/>
      <c r="L448" s="159"/>
      <c r="M448" s="16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</row>
    <row r="449">
      <c r="A449" s="100"/>
      <c r="B449" s="154"/>
      <c r="C449" s="100"/>
      <c r="D449" s="100"/>
      <c r="E449" s="100"/>
      <c r="F449" s="100"/>
      <c r="G449" s="100"/>
      <c r="H449" s="155"/>
      <c r="I449" s="156"/>
      <c r="J449" s="157"/>
      <c r="K449" s="158"/>
      <c r="L449" s="159"/>
      <c r="M449" s="16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</row>
    <row r="450">
      <c r="A450" s="100"/>
      <c r="B450" s="154"/>
      <c r="C450" s="100"/>
      <c r="D450" s="100"/>
      <c r="E450" s="100"/>
      <c r="F450" s="100"/>
      <c r="G450" s="100"/>
      <c r="H450" s="155"/>
      <c r="I450" s="156"/>
      <c r="J450" s="157"/>
      <c r="K450" s="158"/>
      <c r="L450" s="159"/>
      <c r="M450" s="16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</row>
    <row r="451">
      <c r="A451" s="100"/>
      <c r="B451" s="154"/>
      <c r="C451" s="100"/>
      <c r="D451" s="100"/>
      <c r="E451" s="100"/>
      <c r="F451" s="100"/>
      <c r="G451" s="100"/>
      <c r="H451" s="155"/>
      <c r="I451" s="156"/>
      <c r="J451" s="157"/>
      <c r="K451" s="158"/>
      <c r="L451" s="159"/>
      <c r="M451" s="16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</row>
    <row r="452">
      <c r="A452" s="100"/>
      <c r="B452" s="154"/>
      <c r="C452" s="100"/>
      <c r="D452" s="100"/>
      <c r="E452" s="100"/>
      <c r="F452" s="100"/>
      <c r="G452" s="100"/>
      <c r="H452" s="155"/>
      <c r="I452" s="156"/>
      <c r="J452" s="157"/>
      <c r="K452" s="158"/>
      <c r="L452" s="159"/>
      <c r="M452" s="16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</row>
    <row r="453">
      <c r="A453" s="100"/>
      <c r="B453" s="154"/>
      <c r="C453" s="100"/>
      <c r="D453" s="100"/>
      <c r="E453" s="100"/>
      <c r="F453" s="100"/>
      <c r="G453" s="100"/>
      <c r="H453" s="155"/>
      <c r="I453" s="156"/>
      <c r="J453" s="157"/>
      <c r="K453" s="158"/>
      <c r="L453" s="159"/>
      <c r="M453" s="16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</row>
    <row r="454">
      <c r="A454" s="100"/>
      <c r="B454" s="154"/>
      <c r="C454" s="100"/>
      <c r="D454" s="100"/>
      <c r="E454" s="100"/>
      <c r="F454" s="100"/>
      <c r="G454" s="100"/>
      <c r="H454" s="155"/>
      <c r="I454" s="156"/>
      <c r="J454" s="157"/>
      <c r="K454" s="158"/>
      <c r="L454" s="159"/>
      <c r="M454" s="16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</row>
    <row r="455">
      <c r="A455" s="100"/>
      <c r="B455" s="154"/>
      <c r="C455" s="100"/>
      <c r="D455" s="100"/>
      <c r="E455" s="100"/>
      <c r="F455" s="100"/>
      <c r="G455" s="100"/>
      <c r="H455" s="155"/>
      <c r="I455" s="156"/>
      <c r="J455" s="157"/>
      <c r="K455" s="158"/>
      <c r="L455" s="159"/>
      <c r="M455" s="16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</row>
    <row r="456">
      <c r="A456" s="100"/>
      <c r="B456" s="154"/>
      <c r="C456" s="100"/>
      <c r="D456" s="100"/>
      <c r="E456" s="100"/>
      <c r="F456" s="100"/>
      <c r="G456" s="100"/>
      <c r="H456" s="155"/>
      <c r="I456" s="156"/>
      <c r="J456" s="157"/>
      <c r="K456" s="158"/>
      <c r="L456" s="159"/>
      <c r="M456" s="16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</row>
    <row r="457">
      <c r="A457" s="100"/>
      <c r="B457" s="154"/>
      <c r="C457" s="100"/>
      <c r="D457" s="100"/>
      <c r="E457" s="100"/>
      <c r="F457" s="100"/>
      <c r="G457" s="100"/>
      <c r="H457" s="155"/>
      <c r="I457" s="156"/>
      <c r="J457" s="157"/>
      <c r="K457" s="158"/>
      <c r="L457" s="159"/>
      <c r="M457" s="16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</row>
    <row r="458">
      <c r="A458" s="100"/>
      <c r="B458" s="154"/>
      <c r="C458" s="100"/>
      <c r="D458" s="100"/>
      <c r="E458" s="100"/>
      <c r="F458" s="100"/>
      <c r="G458" s="100"/>
      <c r="H458" s="155"/>
      <c r="I458" s="156"/>
      <c r="J458" s="157"/>
      <c r="K458" s="158"/>
      <c r="L458" s="159"/>
      <c r="M458" s="16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</row>
    <row r="459">
      <c r="A459" s="100"/>
      <c r="B459" s="154"/>
      <c r="C459" s="100"/>
      <c r="D459" s="100"/>
      <c r="E459" s="100"/>
      <c r="F459" s="100"/>
      <c r="G459" s="100"/>
      <c r="H459" s="155"/>
      <c r="I459" s="156"/>
      <c r="J459" s="157"/>
      <c r="K459" s="158"/>
      <c r="L459" s="159"/>
      <c r="M459" s="16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</row>
    <row r="460">
      <c r="A460" s="100"/>
      <c r="B460" s="154"/>
      <c r="C460" s="100"/>
      <c r="D460" s="100"/>
      <c r="E460" s="100"/>
      <c r="F460" s="100"/>
      <c r="G460" s="100"/>
      <c r="H460" s="155"/>
      <c r="I460" s="156"/>
      <c r="J460" s="157"/>
      <c r="K460" s="158"/>
      <c r="L460" s="159"/>
      <c r="M460" s="16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</row>
    <row r="461">
      <c r="A461" s="100"/>
      <c r="B461" s="154"/>
      <c r="C461" s="100"/>
      <c r="D461" s="100"/>
      <c r="E461" s="100"/>
      <c r="F461" s="100"/>
      <c r="G461" s="100"/>
      <c r="H461" s="155"/>
      <c r="I461" s="156"/>
      <c r="J461" s="157"/>
      <c r="K461" s="158"/>
      <c r="L461" s="159"/>
      <c r="M461" s="16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</row>
    <row r="462">
      <c r="A462" s="100"/>
      <c r="B462" s="154"/>
      <c r="C462" s="100"/>
      <c r="D462" s="100"/>
      <c r="E462" s="100"/>
      <c r="F462" s="100"/>
      <c r="G462" s="100"/>
      <c r="H462" s="155"/>
      <c r="I462" s="156"/>
      <c r="J462" s="157"/>
      <c r="K462" s="158"/>
      <c r="L462" s="159"/>
      <c r="M462" s="16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</row>
    <row r="463">
      <c r="A463" s="100"/>
      <c r="B463" s="154"/>
      <c r="C463" s="100"/>
      <c r="D463" s="100"/>
      <c r="E463" s="100"/>
      <c r="F463" s="100"/>
      <c r="G463" s="100"/>
      <c r="H463" s="155"/>
      <c r="I463" s="156"/>
      <c r="J463" s="157"/>
      <c r="K463" s="158"/>
      <c r="L463" s="159"/>
      <c r="M463" s="16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</row>
    <row r="464">
      <c r="A464" s="100"/>
      <c r="B464" s="154"/>
      <c r="C464" s="100"/>
      <c r="D464" s="100"/>
      <c r="E464" s="100"/>
      <c r="F464" s="100"/>
      <c r="G464" s="100"/>
      <c r="H464" s="155"/>
      <c r="I464" s="156"/>
      <c r="J464" s="157"/>
      <c r="K464" s="158"/>
      <c r="L464" s="159"/>
      <c r="M464" s="16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</row>
    <row r="465">
      <c r="A465" s="100"/>
      <c r="B465" s="154"/>
      <c r="C465" s="100"/>
      <c r="D465" s="100"/>
      <c r="E465" s="100"/>
      <c r="F465" s="100"/>
      <c r="G465" s="100"/>
      <c r="H465" s="155"/>
      <c r="I465" s="156"/>
      <c r="J465" s="157"/>
      <c r="K465" s="158"/>
      <c r="L465" s="159"/>
      <c r="M465" s="16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</row>
    <row r="466">
      <c r="A466" s="100"/>
      <c r="B466" s="154"/>
      <c r="C466" s="100"/>
      <c r="D466" s="100"/>
      <c r="E466" s="100"/>
      <c r="F466" s="100"/>
      <c r="G466" s="100"/>
      <c r="H466" s="155"/>
      <c r="I466" s="156"/>
      <c r="J466" s="157"/>
      <c r="K466" s="158"/>
      <c r="L466" s="159"/>
      <c r="M466" s="16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</row>
    <row r="467">
      <c r="A467" s="100"/>
      <c r="B467" s="154"/>
      <c r="C467" s="100"/>
      <c r="D467" s="100"/>
      <c r="E467" s="100"/>
      <c r="F467" s="100"/>
      <c r="G467" s="100"/>
      <c r="H467" s="155"/>
      <c r="I467" s="156"/>
      <c r="J467" s="157"/>
      <c r="K467" s="158"/>
      <c r="L467" s="159"/>
      <c r="M467" s="16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</row>
    <row r="468">
      <c r="A468" s="100"/>
      <c r="B468" s="154"/>
      <c r="C468" s="100"/>
      <c r="D468" s="100"/>
      <c r="E468" s="100"/>
      <c r="F468" s="100"/>
      <c r="G468" s="100"/>
      <c r="H468" s="155"/>
      <c r="I468" s="156"/>
      <c r="J468" s="157"/>
      <c r="K468" s="158"/>
      <c r="L468" s="159"/>
      <c r="M468" s="16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</row>
    <row r="469">
      <c r="A469" s="100"/>
      <c r="B469" s="154"/>
      <c r="C469" s="100"/>
      <c r="D469" s="100"/>
      <c r="E469" s="100"/>
      <c r="F469" s="100"/>
      <c r="G469" s="100"/>
      <c r="H469" s="155"/>
      <c r="I469" s="156"/>
      <c r="J469" s="157"/>
      <c r="K469" s="158"/>
      <c r="L469" s="159"/>
      <c r="M469" s="16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</row>
    <row r="470">
      <c r="A470" s="100"/>
      <c r="B470" s="154"/>
      <c r="C470" s="100"/>
      <c r="D470" s="100"/>
      <c r="E470" s="100"/>
      <c r="F470" s="100"/>
      <c r="G470" s="100"/>
      <c r="H470" s="155"/>
      <c r="I470" s="156"/>
      <c r="J470" s="157"/>
      <c r="K470" s="158"/>
      <c r="L470" s="159"/>
      <c r="M470" s="16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</row>
    <row r="471">
      <c r="A471" s="100"/>
      <c r="B471" s="154"/>
      <c r="C471" s="100"/>
      <c r="D471" s="100"/>
      <c r="E471" s="100"/>
      <c r="F471" s="100"/>
      <c r="G471" s="100"/>
      <c r="H471" s="155"/>
      <c r="I471" s="156"/>
      <c r="J471" s="157"/>
      <c r="K471" s="158"/>
      <c r="L471" s="159"/>
      <c r="M471" s="16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</row>
    <row r="472">
      <c r="A472" s="100"/>
      <c r="B472" s="154"/>
      <c r="C472" s="100"/>
      <c r="D472" s="100"/>
      <c r="E472" s="100"/>
      <c r="F472" s="100"/>
      <c r="G472" s="100"/>
      <c r="H472" s="155"/>
      <c r="I472" s="156"/>
      <c r="J472" s="157"/>
      <c r="K472" s="158"/>
      <c r="L472" s="159"/>
      <c r="M472" s="16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</row>
    <row r="473">
      <c r="A473" s="100"/>
      <c r="B473" s="154"/>
      <c r="C473" s="100"/>
      <c r="D473" s="100"/>
      <c r="E473" s="100"/>
      <c r="F473" s="100"/>
      <c r="G473" s="100"/>
      <c r="H473" s="155"/>
      <c r="I473" s="156"/>
      <c r="J473" s="157"/>
      <c r="K473" s="158"/>
      <c r="L473" s="159"/>
      <c r="M473" s="16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</row>
    <row r="474">
      <c r="A474" s="100"/>
      <c r="B474" s="154"/>
      <c r="C474" s="100"/>
      <c r="D474" s="100"/>
      <c r="E474" s="100"/>
      <c r="F474" s="100"/>
      <c r="G474" s="100"/>
      <c r="H474" s="155"/>
      <c r="I474" s="156"/>
      <c r="J474" s="157"/>
      <c r="K474" s="158"/>
      <c r="L474" s="159"/>
      <c r="M474" s="16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</row>
    <row r="475">
      <c r="A475" s="100"/>
      <c r="B475" s="154"/>
      <c r="C475" s="100"/>
      <c r="D475" s="100"/>
      <c r="E475" s="100"/>
      <c r="F475" s="100"/>
      <c r="G475" s="100"/>
      <c r="H475" s="155"/>
      <c r="I475" s="156"/>
      <c r="J475" s="157"/>
      <c r="K475" s="158"/>
      <c r="L475" s="159"/>
      <c r="M475" s="16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</row>
    <row r="476">
      <c r="A476" s="100"/>
      <c r="B476" s="154"/>
      <c r="C476" s="100"/>
      <c r="D476" s="100"/>
      <c r="E476" s="100"/>
      <c r="F476" s="100"/>
      <c r="G476" s="100"/>
      <c r="H476" s="155"/>
      <c r="I476" s="156"/>
      <c r="J476" s="157"/>
      <c r="K476" s="158"/>
      <c r="L476" s="159"/>
      <c r="M476" s="16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</row>
    <row r="477">
      <c r="A477" s="100"/>
      <c r="B477" s="154"/>
      <c r="C477" s="100"/>
      <c r="D477" s="100"/>
      <c r="E477" s="100"/>
      <c r="F477" s="100"/>
      <c r="G477" s="100"/>
      <c r="H477" s="155"/>
      <c r="I477" s="156"/>
      <c r="J477" s="157"/>
      <c r="K477" s="158"/>
      <c r="L477" s="159"/>
      <c r="M477" s="16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</row>
    <row r="478">
      <c r="A478" s="100"/>
      <c r="B478" s="154"/>
      <c r="C478" s="100"/>
      <c r="D478" s="100"/>
      <c r="E478" s="100"/>
      <c r="F478" s="100"/>
      <c r="G478" s="100"/>
      <c r="H478" s="155"/>
      <c r="I478" s="156"/>
      <c r="J478" s="157"/>
      <c r="K478" s="158"/>
      <c r="L478" s="159"/>
      <c r="M478" s="16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</row>
    <row r="479">
      <c r="A479" s="100"/>
      <c r="B479" s="154"/>
      <c r="C479" s="100"/>
      <c r="D479" s="100"/>
      <c r="E479" s="100"/>
      <c r="F479" s="100"/>
      <c r="G479" s="100"/>
      <c r="H479" s="155"/>
      <c r="I479" s="156"/>
      <c r="J479" s="157"/>
      <c r="K479" s="158"/>
      <c r="L479" s="159"/>
      <c r="M479" s="16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</row>
    <row r="480">
      <c r="A480" s="100"/>
      <c r="B480" s="154"/>
      <c r="C480" s="100"/>
      <c r="D480" s="100"/>
      <c r="E480" s="100"/>
      <c r="F480" s="100"/>
      <c r="G480" s="100"/>
      <c r="H480" s="155"/>
      <c r="I480" s="156"/>
      <c r="J480" s="157"/>
      <c r="K480" s="158"/>
      <c r="L480" s="159"/>
      <c r="M480" s="16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</row>
    <row r="481">
      <c r="A481" s="100"/>
      <c r="B481" s="154"/>
      <c r="C481" s="100"/>
      <c r="D481" s="100"/>
      <c r="E481" s="100"/>
      <c r="F481" s="100"/>
      <c r="G481" s="100"/>
      <c r="H481" s="155"/>
      <c r="I481" s="156"/>
      <c r="J481" s="157"/>
      <c r="K481" s="158"/>
      <c r="L481" s="159"/>
      <c r="M481" s="16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</row>
    <row r="482">
      <c r="A482" s="100"/>
      <c r="B482" s="154"/>
      <c r="C482" s="100"/>
      <c r="D482" s="100"/>
      <c r="E482" s="100"/>
      <c r="F482" s="100"/>
      <c r="G482" s="100"/>
      <c r="H482" s="155"/>
      <c r="I482" s="156"/>
      <c r="J482" s="157"/>
      <c r="K482" s="158"/>
      <c r="L482" s="159"/>
      <c r="M482" s="16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</row>
    <row r="483">
      <c r="A483" s="100"/>
      <c r="B483" s="154"/>
      <c r="C483" s="100"/>
      <c r="D483" s="100"/>
      <c r="E483" s="100"/>
      <c r="F483" s="100"/>
      <c r="G483" s="100"/>
      <c r="H483" s="155"/>
      <c r="I483" s="156"/>
      <c r="J483" s="157"/>
      <c r="K483" s="158"/>
      <c r="L483" s="159"/>
      <c r="M483" s="16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</row>
    <row r="484">
      <c r="A484" s="100"/>
      <c r="B484" s="154"/>
      <c r="C484" s="100"/>
      <c r="D484" s="100"/>
      <c r="E484" s="100"/>
      <c r="F484" s="100"/>
      <c r="G484" s="100"/>
      <c r="H484" s="155"/>
      <c r="I484" s="156"/>
      <c r="J484" s="157"/>
      <c r="K484" s="158"/>
      <c r="L484" s="159"/>
      <c r="M484" s="16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</row>
    <row r="485">
      <c r="A485" s="100"/>
      <c r="B485" s="154"/>
      <c r="C485" s="100"/>
      <c r="D485" s="100"/>
      <c r="E485" s="100"/>
      <c r="F485" s="100"/>
      <c r="G485" s="100"/>
      <c r="H485" s="155"/>
      <c r="I485" s="156"/>
      <c r="J485" s="157"/>
      <c r="K485" s="158"/>
      <c r="L485" s="159"/>
      <c r="M485" s="16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</row>
    <row r="486">
      <c r="A486" s="100"/>
      <c r="B486" s="154"/>
      <c r="C486" s="100"/>
      <c r="D486" s="100"/>
      <c r="E486" s="100"/>
      <c r="F486" s="100"/>
      <c r="G486" s="100"/>
      <c r="H486" s="155"/>
      <c r="I486" s="156"/>
      <c r="J486" s="157"/>
      <c r="K486" s="158"/>
      <c r="L486" s="159"/>
      <c r="M486" s="16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</row>
    <row r="487">
      <c r="A487" s="100"/>
      <c r="B487" s="154"/>
      <c r="C487" s="100"/>
      <c r="D487" s="100"/>
      <c r="E487" s="100"/>
      <c r="F487" s="100"/>
      <c r="G487" s="100"/>
      <c r="H487" s="155"/>
      <c r="I487" s="156"/>
      <c r="J487" s="157"/>
      <c r="K487" s="158"/>
      <c r="L487" s="159"/>
      <c r="M487" s="16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</row>
    <row r="488">
      <c r="A488" s="100"/>
      <c r="B488" s="154"/>
      <c r="C488" s="100"/>
      <c r="D488" s="100"/>
      <c r="E488" s="100"/>
      <c r="F488" s="100"/>
      <c r="G488" s="100"/>
      <c r="H488" s="155"/>
      <c r="I488" s="156"/>
      <c r="J488" s="157"/>
      <c r="K488" s="158"/>
      <c r="L488" s="159"/>
      <c r="M488" s="16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</row>
    <row r="489">
      <c r="A489" s="100"/>
      <c r="B489" s="154"/>
      <c r="C489" s="100"/>
      <c r="D489" s="100"/>
      <c r="E489" s="100"/>
      <c r="F489" s="100"/>
      <c r="G489" s="100"/>
      <c r="H489" s="155"/>
      <c r="I489" s="156"/>
      <c r="J489" s="157"/>
      <c r="K489" s="158"/>
      <c r="L489" s="159"/>
      <c r="M489" s="16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</row>
    <row r="490">
      <c r="A490" s="100"/>
      <c r="B490" s="154"/>
      <c r="C490" s="100"/>
      <c r="D490" s="100"/>
      <c r="E490" s="100"/>
      <c r="F490" s="100"/>
      <c r="G490" s="100"/>
      <c r="H490" s="155"/>
      <c r="I490" s="156"/>
      <c r="J490" s="157"/>
      <c r="K490" s="158"/>
      <c r="L490" s="159"/>
      <c r="M490" s="16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</row>
    <row r="491">
      <c r="A491" s="100"/>
      <c r="B491" s="154"/>
      <c r="C491" s="100"/>
      <c r="D491" s="100"/>
      <c r="E491" s="100"/>
      <c r="F491" s="100"/>
      <c r="G491" s="100"/>
      <c r="H491" s="155"/>
      <c r="I491" s="156"/>
      <c r="J491" s="157"/>
      <c r="K491" s="158"/>
      <c r="L491" s="159"/>
      <c r="M491" s="16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</row>
    <row r="492">
      <c r="A492" s="100"/>
      <c r="B492" s="154"/>
      <c r="C492" s="100"/>
      <c r="D492" s="100"/>
      <c r="E492" s="100"/>
      <c r="F492" s="100"/>
      <c r="G492" s="100"/>
      <c r="H492" s="155"/>
      <c r="I492" s="156"/>
      <c r="J492" s="157"/>
      <c r="K492" s="158"/>
      <c r="L492" s="159"/>
      <c r="M492" s="16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</row>
    <row r="493">
      <c r="A493" s="100"/>
      <c r="B493" s="154"/>
      <c r="C493" s="100"/>
      <c r="D493" s="100"/>
      <c r="E493" s="100"/>
      <c r="F493" s="100"/>
      <c r="G493" s="100"/>
      <c r="H493" s="155"/>
      <c r="I493" s="156"/>
      <c r="J493" s="157"/>
      <c r="K493" s="158"/>
      <c r="L493" s="159"/>
      <c r="M493" s="16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</row>
    <row r="494">
      <c r="A494" s="100"/>
      <c r="B494" s="154"/>
      <c r="C494" s="100"/>
      <c r="D494" s="100"/>
      <c r="E494" s="100"/>
      <c r="F494" s="100"/>
      <c r="G494" s="100"/>
      <c r="H494" s="155"/>
      <c r="I494" s="156"/>
      <c r="J494" s="157"/>
      <c r="K494" s="158"/>
      <c r="L494" s="159"/>
      <c r="M494" s="16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</row>
    <row r="495">
      <c r="A495" s="100"/>
      <c r="B495" s="154"/>
      <c r="C495" s="100"/>
      <c r="D495" s="100"/>
      <c r="E495" s="100"/>
      <c r="F495" s="100"/>
      <c r="G495" s="100"/>
      <c r="H495" s="155"/>
      <c r="I495" s="156"/>
      <c r="J495" s="157"/>
      <c r="K495" s="158"/>
      <c r="L495" s="159"/>
      <c r="M495" s="16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</row>
    <row r="496">
      <c r="A496" s="100"/>
      <c r="B496" s="154"/>
      <c r="C496" s="100"/>
      <c r="D496" s="100"/>
      <c r="E496" s="100"/>
      <c r="F496" s="100"/>
      <c r="G496" s="100"/>
      <c r="H496" s="155"/>
      <c r="I496" s="156"/>
      <c r="J496" s="157"/>
      <c r="K496" s="158"/>
      <c r="L496" s="159"/>
      <c r="M496" s="16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</row>
    <row r="497">
      <c r="A497" s="100"/>
      <c r="B497" s="154"/>
      <c r="C497" s="100"/>
      <c r="D497" s="100"/>
      <c r="E497" s="100"/>
      <c r="F497" s="100"/>
      <c r="G497" s="100"/>
      <c r="H497" s="155"/>
      <c r="I497" s="156"/>
      <c r="J497" s="157"/>
      <c r="K497" s="158"/>
      <c r="L497" s="159"/>
      <c r="M497" s="16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</row>
    <row r="498">
      <c r="A498" s="100"/>
      <c r="B498" s="154"/>
      <c r="C498" s="100"/>
      <c r="D498" s="100"/>
      <c r="E498" s="100"/>
      <c r="F498" s="100"/>
      <c r="G498" s="100"/>
      <c r="H498" s="155"/>
      <c r="I498" s="156"/>
      <c r="J498" s="157"/>
      <c r="K498" s="158"/>
      <c r="L498" s="159"/>
      <c r="M498" s="16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</row>
    <row r="499">
      <c r="A499" s="100"/>
      <c r="B499" s="154"/>
      <c r="C499" s="100"/>
      <c r="D499" s="100"/>
      <c r="E499" s="100"/>
      <c r="F499" s="100"/>
      <c r="G499" s="100"/>
      <c r="H499" s="155"/>
      <c r="I499" s="156"/>
      <c r="J499" s="157"/>
      <c r="K499" s="158"/>
      <c r="L499" s="159"/>
      <c r="M499" s="16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</row>
    <row r="500">
      <c r="A500" s="100"/>
      <c r="B500" s="154"/>
      <c r="C500" s="100"/>
      <c r="D500" s="100"/>
      <c r="E500" s="100"/>
      <c r="F500" s="100"/>
      <c r="G500" s="100"/>
      <c r="H500" s="155"/>
      <c r="I500" s="156"/>
      <c r="J500" s="157"/>
      <c r="K500" s="158"/>
      <c r="L500" s="159"/>
      <c r="M500" s="16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</row>
    <row r="501">
      <c r="A501" s="100"/>
      <c r="B501" s="154"/>
      <c r="C501" s="100"/>
      <c r="D501" s="100"/>
      <c r="E501" s="100"/>
      <c r="F501" s="100"/>
      <c r="G501" s="100"/>
      <c r="H501" s="155"/>
      <c r="I501" s="156"/>
      <c r="J501" s="157"/>
      <c r="K501" s="158"/>
      <c r="L501" s="159"/>
      <c r="M501" s="16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</row>
    <row r="502">
      <c r="A502" s="100"/>
      <c r="B502" s="154"/>
      <c r="C502" s="100"/>
      <c r="D502" s="100"/>
      <c r="E502" s="100"/>
      <c r="F502" s="100"/>
      <c r="G502" s="100"/>
      <c r="H502" s="155"/>
      <c r="I502" s="156"/>
      <c r="J502" s="157"/>
      <c r="K502" s="158"/>
      <c r="L502" s="159"/>
      <c r="M502" s="16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</row>
    <row r="503">
      <c r="A503" s="100"/>
      <c r="B503" s="154"/>
      <c r="C503" s="100"/>
      <c r="D503" s="100"/>
      <c r="E503" s="100"/>
      <c r="F503" s="100"/>
      <c r="G503" s="100"/>
      <c r="H503" s="155"/>
      <c r="I503" s="156"/>
      <c r="J503" s="157"/>
      <c r="K503" s="158"/>
      <c r="L503" s="159"/>
      <c r="M503" s="16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</row>
    <row r="504">
      <c r="A504" s="100"/>
      <c r="B504" s="154"/>
      <c r="C504" s="100"/>
      <c r="D504" s="100"/>
      <c r="E504" s="100"/>
      <c r="F504" s="100"/>
      <c r="G504" s="100"/>
      <c r="H504" s="155"/>
      <c r="I504" s="156"/>
      <c r="J504" s="157"/>
      <c r="K504" s="158"/>
      <c r="L504" s="159"/>
      <c r="M504" s="16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</row>
    <row r="505">
      <c r="A505" s="100"/>
      <c r="B505" s="154"/>
      <c r="C505" s="100"/>
      <c r="D505" s="100"/>
      <c r="E505" s="100"/>
      <c r="F505" s="100"/>
      <c r="G505" s="100"/>
      <c r="H505" s="155"/>
      <c r="I505" s="156"/>
      <c r="J505" s="157"/>
      <c r="K505" s="158"/>
      <c r="L505" s="159"/>
      <c r="M505" s="16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</row>
    <row r="506">
      <c r="A506" s="100"/>
      <c r="B506" s="154"/>
      <c r="C506" s="100"/>
      <c r="D506" s="100"/>
      <c r="E506" s="100"/>
      <c r="F506" s="100"/>
      <c r="G506" s="100"/>
      <c r="H506" s="155"/>
      <c r="I506" s="156"/>
      <c r="J506" s="157"/>
      <c r="K506" s="158"/>
      <c r="L506" s="159"/>
      <c r="M506" s="16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</row>
    <row r="507">
      <c r="A507" s="100"/>
      <c r="B507" s="154"/>
      <c r="C507" s="100"/>
      <c r="D507" s="100"/>
      <c r="E507" s="100"/>
      <c r="F507" s="100"/>
      <c r="G507" s="100"/>
      <c r="H507" s="155"/>
      <c r="I507" s="156"/>
      <c r="J507" s="157"/>
      <c r="K507" s="158"/>
      <c r="L507" s="159"/>
      <c r="M507" s="16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</row>
    <row r="508">
      <c r="A508" s="100"/>
      <c r="B508" s="154"/>
      <c r="C508" s="100"/>
      <c r="D508" s="100"/>
      <c r="E508" s="100"/>
      <c r="F508" s="100"/>
      <c r="G508" s="100"/>
      <c r="H508" s="155"/>
      <c r="I508" s="156"/>
      <c r="J508" s="157"/>
      <c r="K508" s="158"/>
      <c r="L508" s="159"/>
      <c r="M508" s="16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</row>
    <row r="509">
      <c r="A509" s="100"/>
      <c r="B509" s="154"/>
      <c r="C509" s="100"/>
      <c r="D509" s="100"/>
      <c r="E509" s="100"/>
      <c r="F509" s="100"/>
      <c r="G509" s="100"/>
      <c r="H509" s="155"/>
      <c r="I509" s="156"/>
      <c r="J509" s="157"/>
      <c r="K509" s="158"/>
      <c r="L509" s="159"/>
      <c r="M509" s="16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</row>
    <row r="510">
      <c r="A510" s="100"/>
      <c r="B510" s="154"/>
      <c r="C510" s="100"/>
      <c r="D510" s="100"/>
      <c r="E510" s="100"/>
      <c r="F510" s="100"/>
      <c r="G510" s="100"/>
      <c r="H510" s="155"/>
      <c r="I510" s="156"/>
      <c r="J510" s="157"/>
      <c r="K510" s="158"/>
      <c r="L510" s="159"/>
      <c r="M510" s="16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</row>
    <row r="511">
      <c r="A511" s="100"/>
      <c r="B511" s="154"/>
      <c r="C511" s="100"/>
      <c r="D511" s="100"/>
      <c r="E511" s="100"/>
      <c r="F511" s="100"/>
      <c r="G511" s="100"/>
      <c r="H511" s="155"/>
      <c r="I511" s="156"/>
      <c r="J511" s="157"/>
      <c r="K511" s="158"/>
      <c r="L511" s="159"/>
      <c r="M511" s="16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</row>
    <row r="512">
      <c r="A512" s="100"/>
      <c r="B512" s="154"/>
      <c r="C512" s="100"/>
      <c r="D512" s="100"/>
      <c r="E512" s="100"/>
      <c r="F512" s="100"/>
      <c r="G512" s="100"/>
      <c r="H512" s="155"/>
      <c r="I512" s="156"/>
      <c r="J512" s="157"/>
      <c r="K512" s="158"/>
      <c r="L512" s="159"/>
      <c r="M512" s="16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</row>
    <row r="513">
      <c r="A513" s="100"/>
      <c r="B513" s="154"/>
      <c r="C513" s="100"/>
      <c r="D513" s="100"/>
      <c r="E513" s="100"/>
      <c r="F513" s="100"/>
      <c r="G513" s="100"/>
      <c r="H513" s="155"/>
      <c r="I513" s="156"/>
      <c r="J513" s="157"/>
      <c r="K513" s="158"/>
      <c r="L513" s="159"/>
      <c r="M513" s="16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</row>
    <row r="514">
      <c r="A514" s="100"/>
      <c r="B514" s="154"/>
      <c r="C514" s="100"/>
      <c r="D514" s="100"/>
      <c r="E514" s="100"/>
      <c r="F514" s="100"/>
      <c r="G514" s="100"/>
      <c r="H514" s="155"/>
      <c r="I514" s="156"/>
      <c r="J514" s="157"/>
      <c r="K514" s="158"/>
      <c r="L514" s="159"/>
      <c r="M514" s="16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</row>
    <row r="515">
      <c r="A515" s="100"/>
      <c r="B515" s="154"/>
      <c r="C515" s="100"/>
      <c r="D515" s="100"/>
      <c r="E515" s="100"/>
      <c r="F515" s="100"/>
      <c r="G515" s="100"/>
      <c r="H515" s="155"/>
      <c r="I515" s="156"/>
      <c r="J515" s="157"/>
      <c r="K515" s="158"/>
      <c r="L515" s="159"/>
      <c r="M515" s="16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</row>
    <row r="516">
      <c r="A516" s="100"/>
      <c r="B516" s="154"/>
      <c r="C516" s="100"/>
      <c r="D516" s="100"/>
      <c r="E516" s="100"/>
      <c r="F516" s="100"/>
      <c r="G516" s="100"/>
      <c r="H516" s="155"/>
      <c r="I516" s="156"/>
      <c r="J516" s="157"/>
      <c r="K516" s="158"/>
      <c r="L516" s="159"/>
      <c r="M516" s="16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</row>
    <row r="517">
      <c r="A517" s="100"/>
      <c r="B517" s="154"/>
      <c r="C517" s="100"/>
      <c r="D517" s="100"/>
      <c r="E517" s="100"/>
      <c r="F517" s="100"/>
      <c r="G517" s="100"/>
      <c r="H517" s="155"/>
      <c r="I517" s="156"/>
      <c r="J517" s="157"/>
      <c r="K517" s="158"/>
      <c r="L517" s="159"/>
      <c r="M517" s="16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</row>
    <row r="518">
      <c r="A518" s="100"/>
      <c r="B518" s="154"/>
      <c r="C518" s="100"/>
      <c r="D518" s="100"/>
      <c r="E518" s="100"/>
      <c r="F518" s="100"/>
      <c r="G518" s="100"/>
      <c r="H518" s="155"/>
      <c r="I518" s="156"/>
      <c r="J518" s="157"/>
      <c r="K518" s="158"/>
      <c r="L518" s="159"/>
      <c r="M518" s="16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</row>
    <row r="519">
      <c r="A519" s="100"/>
      <c r="B519" s="154"/>
      <c r="C519" s="100"/>
      <c r="D519" s="100"/>
      <c r="E519" s="100"/>
      <c r="F519" s="100"/>
      <c r="G519" s="100"/>
      <c r="H519" s="155"/>
      <c r="I519" s="156"/>
      <c r="J519" s="157"/>
      <c r="K519" s="158"/>
      <c r="L519" s="159"/>
      <c r="M519" s="16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</row>
    <row r="520">
      <c r="A520" s="100"/>
      <c r="B520" s="154"/>
      <c r="C520" s="100"/>
      <c r="D520" s="100"/>
      <c r="E520" s="100"/>
      <c r="F520" s="100"/>
      <c r="G520" s="100"/>
      <c r="H520" s="155"/>
      <c r="I520" s="156"/>
      <c r="J520" s="157"/>
      <c r="K520" s="158"/>
      <c r="L520" s="159"/>
      <c r="M520" s="16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</row>
    <row r="521">
      <c r="A521" s="100"/>
      <c r="B521" s="154"/>
      <c r="C521" s="100"/>
      <c r="D521" s="100"/>
      <c r="E521" s="100"/>
      <c r="F521" s="100"/>
      <c r="G521" s="100"/>
      <c r="H521" s="155"/>
      <c r="I521" s="156"/>
      <c r="J521" s="157"/>
      <c r="K521" s="158"/>
      <c r="L521" s="159"/>
      <c r="M521" s="16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</row>
    <row r="522">
      <c r="A522" s="100"/>
      <c r="B522" s="154"/>
      <c r="C522" s="100"/>
      <c r="D522" s="100"/>
      <c r="E522" s="100"/>
      <c r="F522" s="100"/>
      <c r="G522" s="100"/>
      <c r="H522" s="155"/>
      <c r="I522" s="156"/>
      <c r="J522" s="157"/>
      <c r="K522" s="158"/>
      <c r="L522" s="159"/>
      <c r="M522" s="16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</row>
    <row r="523">
      <c r="A523" s="100"/>
      <c r="B523" s="154"/>
      <c r="C523" s="100"/>
      <c r="D523" s="100"/>
      <c r="E523" s="100"/>
      <c r="F523" s="100"/>
      <c r="G523" s="100"/>
      <c r="H523" s="155"/>
      <c r="I523" s="156"/>
      <c r="J523" s="157"/>
      <c r="K523" s="158"/>
      <c r="L523" s="159"/>
      <c r="M523" s="16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</row>
    <row r="524">
      <c r="A524" s="100"/>
      <c r="B524" s="154"/>
      <c r="C524" s="100"/>
      <c r="D524" s="100"/>
      <c r="E524" s="100"/>
      <c r="F524" s="100"/>
      <c r="G524" s="100"/>
      <c r="H524" s="155"/>
      <c r="I524" s="156"/>
      <c r="J524" s="157"/>
      <c r="K524" s="158"/>
      <c r="L524" s="159"/>
      <c r="M524" s="16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</row>
    <row r="525">
      <c r="A525" s="100"/>
      <c r="B525" s="154"/>
      <c r="C525" s="100"/>
      <c r="D525" s="100"/>
      <c r="E525" s="100"/>
      <c r="F525" s="100"/>
      <c r="G525" s="100"/>
      <c r="H525" s="155"/>
      <c r="I525" s="156"/>
      <c r="J525" s="157"/>
      <c r="K525" s="158"/>
      <c r="L525" s="159"/>
      <c r="M525" s="16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</row>
    <row r="526">
      <c r="A526" s="100"/>
      <c r="B526" s="154"/>
      <c r="C526" s="100"/>
      <c r="D526" s="100"/>
      <c r="E526" s="100"/>
      <c r="F526" s="100"/>
      <c r="G526" s="100"/>
      <c r="H526" s="155"/>
      <c r="I526" s="156"/>
      <c r="J526" s="157"/>
      <c r="K526" s="158"/>
      <c r="L526" s="159"/>
      <c r="M526" s="16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</row>
    <row r="527">
      <c r="A527" s="100"/>
      <c r="B527" s="154"/>
      <c r="C527" s="100"/>
      <c r="D527" s="100"/>
      <c r="E527" s="100"/>
      <c r="F527" s="100"/>
      <c r="G527" s="100"/>
      <c r="H527" s="155"/>
      <c r="I527" s="156"/>
      <c r="J527" s="157"/>
      <c r="K527" s="158"/>
      <c r="L527" s="159"/>
      <c r="M527" s="16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</row>
    <row r="528">
      <c r="A528" s="100"/>
      <c r="B528" s="154"/>
      <c r="C528" s="100"/>
      <c r="D528" s="100"/>
      <c r="E528" s="100"/>
      <c r="F528" s="100"/>
      <c r="G528" s="100"/>
      <c r="H528" s="155"/>
      <c r="I528" s="156"/>
      <c r="J528" s="157"/>
      <c r="K528" s="158"/>
      <c r="L528" s="159"/>
      <c r="M528" s="16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</row>
    <row r="529">
      <c r="A529" s="100"/>
      <c r="B529" s="154"/>
      <c r="C529" s="100"/>
      <c r="D529" s="100"/>
      <c r="E529" s="100"/>
      <c r="F529" s="100"/>
      <c r="G529" s="100"/>
      <c r="H529" s="155"/>
      <c r="I529" s="156"/>
      <c r="J529" s="157"/>
      <c r="K529" s="158"/>
      <c r="L529" s="159"/>
      <c r="M529" s="16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</row>
    <row r="530">
      <c r="A530" s="100"/>
      <c r="B530" s="154"/>
      <c r="C530" s="100"/>
      <c r="D530" s="100"/>
      <c r="E530" s="100"/>
      <c r="F530" s="100"/>
      <c r="G530" s="100"/>
      <c r="H530" s="155"/>
      <c r="I530" s="156"/>
      <c r="J530" s="157"/>
      <c r="K530" s="158"/>
      <c r="L530" s="159"/>
      <c r="M530" s="16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</row>
    <row r="531">
      <c r="A531" s="100"/>
      <c r="B531" s="154"/>
      <c r="C531" s="100"/>
      <c r="D531" s="100"/>
      <c r="E531" s="100"/>
      <c r="F531" s="100"/>
      <c r="G531" s="100"/>
      <c r="H531" s="155"/>
      <c r="I531" s="156"/>
      <c r="J531" s="157"/>
      <c r="K531" s="158"/>
      <c r="L531" s="159"/>
      <c r="M531" s="16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</row>
    <row r="532">
      <c r="A532" s="100"/>
      <c r="B532" s="154"/>
      <c r="C532" s="100"/>
      <c r="D532" s="100"/>
      <c r="E532" s="100"/>
      <c r="F532" s="100"/>
      <c r="G532" s="100"/>
      <c r="H532" s="155"/>
      <c r="I532" s="156"/>
      <c r="J532" s="157"/>
      <c r="K532" s="158"/>
      <c r="L532" s="159"/>
      <c r="M532" s="16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</row>
    <row r="533">
      <c r="A533" s="100"/>
      <c r="B533" s="154"/>
      <c r="C533" s="100"/>
      <c r="D533" s="100"/>
      <c r="E533" s="100"/>
      <c r="F533" s="100"/>
      <c r="G533" s="100"/>
      <c r="H533" s="155"/>
      <c r="I533" s="156"/>
      <c r="J533" s="157"/>
      <c r="K533" s="158"/>
      <c r="L533" s="159"/>
      <c r="M533" s="16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</row>
    <row r="534">
      <c r="A534" s="100"/>
      <c r="B534" s="154"/>
      <c r="C534" s="100"/>
      <c r="D534" s="100"/>
      <c r="E534" s="100"/>
      <c r="F534" s="100"/>
      <c r="G534" s="100"/>
      <c r="H534" s="155"/>
      <c r="I534" s="156"/>
      <c r="J534" s="157"/>
      <c r="K534" s="158"/>
      <c r="L534" s="159"/>
      <c r="M534" s="16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</row>
    <row r="535">
      <c r="A535" s="100"/>
      <c r="B535" s="154"/>
      <c r="C535" s="100"/>
      <c r="D535" s="100"/>
      <c r="E535" s="100"/>
      <c r="F535" s="100"/>
      <c r="G535" s="100"/>
      <c r="H535" s="155"/>
      <c r="I535" s="156"/>
      <c r="J535" s="157"/>
      <c r="K535" s="158"/>
      <c r="L535" s="159"/>
      <c r="M535" s="16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</row>
    <row r="536">
      <c r="A536" s="100"/>
      <c r="B536" s="154"/>
      <c r="C536" s="100"/>
      <c r="D536" s="100"/>
      <c r="E536" s="100"/>
      <c r="F536" s="100"/>
      <c r="G536" s="100"/>
      <c r="H536" s="155"/>
      <c r="I536" s="156"/>
      <c r="J536" s="157"/>
      <c r="K536" s="158"/>
      <c r="L536" s="159"/>
      <c r="M536" s="16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</row>
    <row r="537">
      <c r="A537" s="100"/>
      <c r="B537" s="154"/>
      <c r="C537" s="100"/>
      <c r="D537" s="100"/>
      <c r="E537" s="100"/>
      <c r="F537" s="100"/>
      <c r="G537" s="100"/>
      <c r="H537" s="155"/>
      <c r="I537" s="156"/>
      <c r="J537" s="157"/>
      <c r="K537" s="158"/>
      <c r="L537" s="159"/>
      <c r="M537" s="16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</row>
    <row r="538">
      <c r="A538" s="100"/>
      <c r="B538" s="154"/>
      <c r="C538" s="100"/>
      <c r="D538" s="100"/>
      <c r="E538" s="100"/>
      <c r="F538" s="100"/>
      <c r="G538" s="100"/>
      <c r="H538" s="155"/>
      <c r="I538" s="156"/>
      <c r="J538" s="157"/>
      <c r="K538" s="158"/>
      <c r="L538" s="159"/>
      <c r="M538" s="16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</row>
    <row r="539">
      <c r="A539" s="100"/>
      <c r="B539" s="154"/>
      <c r="C539" s="100"/>
      <c r="D539" s="100"/>
      <c r="E539" s="100"/>
      <c r="F539" s="100"/>
      <c r="G539" s="100"/>
      <c r="H539" s="155"/>
      <c r="I539" s="156"/>
      <c r="J539" s="157"/>
      <c r="K539" s="158"/>
      <c r="L539" s="159"/>
      <c r="M539" s="16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</row>
    <row r="540">
      <c r="A540" s="100"/>
      <c r="B540" s="154"/>
      <c r="C540" s="100"/>
      <c r="D540" s="100"/>
      <c r="E540" s="100"/>
      <c r="F540" s="100"/>
      <c r="G540" s="100"/>
      <c r="H540" s="155"/>
      <c r="I540" s="156"/>
      <c r="J540" s="157"/>
      <c r="K540" s="158"/>
      <c r="L540" s="159"/>
      <c r="M540" s="16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</row>
    <row r="541">
      <c r="A541" s="100"/>
      <c r="B541" s="154"/>
      <c r="C541" s="100"/>
      <c r="D541" s="100"/>
      <c r="E541" s="100"/>
      <c r="F541" s="100"/>
      <c r="G541" s="100"/>
      <c r="H541" s="155"/>
      <c r="I541" s="156"/>
      <c r="J541" s="157"/>
      <c r="K541" s="158"/>
      <c r="L541" s="159"/>
      <c r="M541" s="16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</row>
    <row r="542">
      <c r="A542" s="100"/>
      <c r="B542" s="154"/>
      <c r="C542" s="100"/>
      <c r="D542" s="100"/>
      <c r="E542" s="100"/>
      <c r="F542" s="100"/>
      <c r="G542" s="100"/>
      <c r="H542" s="155"/>
      <c r="I542" s="156"/>
      <c r="J542" s="157"/>
      <c r="K542" s="158"/>
      <c r="L542" s="159"/>
      <c r="M542" s="16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</row>
    <row r="543">
      <c r="A543" s="100"/>
      <c r="B543" s="154"/>
      <c r="C543" s="100"/>
      <c r="D543" s="100"/>
      <c r="E543" s="100"/>
      <c r="F543" s="100"/>
      <c r="G543" s="100"/>
      <c r="H543" s="155"/>
      <c r="I543" s="156"/>
      <c r="J543" s="157"/>
      <c r="K543" s="158"/>
      <c r="L543" s="159"/>
      <c r="M543" s="16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</row>
    <row r="544">
      <c r="A544" s="100"/>
      <c r="B544" s="154"/>
      <c r="C544" s="100"/>
      <c r="D544" s="100"/>
      <c r="E544" s="100"/>
      <c r="F544" s="100"/>
      <c r="G544" s="100"/>
      <c r="H544" s="155"/>
      <c r="I544" s="156"/>
      <c r="J544" s="157"/>
      <c r="K544" s="158"/>
      <c r="L544" s="159"/>
      <c r="M544" s="16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</row>
    <row r="545">
      <c r="A545" s="100"/>
      <c r="B545" s="154"/>
      <c r="C545" s="100"/>
      <c r="D545" s="100"/>
      <c r="E545" s="100"/>
      <c r="F545" s="100"/>
      <c r="G545" s="100"/>
      <c r="H545" s="155"/>
      <c r="I545" s="156"/>
      <c r="J545" s="157"/>
      <c r="K545" s="158"/>
      <c r="L545" s="159"/>
      <c r="M545" s="16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</row>
    <row r="546">
      <c r="A546" s="100"/>
      <c r="B546" s="154"/>
      <c r="C546" s="100"/>
      <c r="D546" s="100"/>
      <c r="E546" s="100"/>
      <c r="F546" s="100"/>
      <c r="G546" s="100"/>
      <c r="H546" s="155"/>
      <c r="I546" s="156"/>
      <c r="J546" s="157"/>
      <c r="K546" s="158"/>
      <c r="L546" s="159"/>
      <c r="M546" s="16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</row>
    <row r="547">
      <c r="A547" s="100"/>
      <c r="B547" s="154"/>
      <c r="C547" s="100"/>
      <c r="D547" s="100"/>
      <c r="E547" s="100"/>
      <c r="F547" s="100"/>
      <c r="G547" s="100"/>
      <c r="H547" s="155"/>
      <c r="I547" s="156"/>
      <c r="J547" s="157"/>
      <c r="K547" s="158"/>
      <c r="L547" s="159"/>
      <c r="M547" s="16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</row>
    <row r="548">
      <c r="A548" s="100"/>
      <c r="B548" s="154"/>
      <c r="C548" s="100"/>
      <c r="D548" s="100"/>
      <c r="E548" s="100"/>
      <c r="F548" s="100"/>
      <c r="G548" s="100"/>
      <c r="H548" s="155"/>
      <c r="I548" s="156"/>
      <c r="J548" s="157"/>
      <c r="K548" s="158"/>
      <c r="L548" s="159"/>
      <c r="M548" s="16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</row>
    <row r="549">
      <c r="A549" s="100"/>
      <c r="B549" s="154"/>
      <c r="C549" s="100"/>
      <c r="D549" s="100"/>
      <c r="E549" s="100"/>
      <c r="F549" s="100"/>
      <c r="G549" s="100"/>
      <c r="H549" s="155"/>
      <c r="I549" s="156"/>
      <c r="J549" s="157"/>
      <c r="K549" s="158"/>
      <c r="L549" s="159"/>
      <c r="M549" s="16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</row>
    <row r="550">
      <c r="A550" s="100"/>
      <c r="B550" s="154"/>
      <c r="C550" s="100"/>
      <c r="D550" s="100"/>
      <c r="E550" s="100"/>
      <c r="F550" s="100"/>
      <c r="G550" s="100"/>
      <c r="H550" s="155"/>
      <c r="I550" s="156"/>
      <c r="J550" s="157"/>
      <c r="K550" s="158"/>
      <c r="L550" s="159"/>
      <c r="M550" s="16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</row>
    <row r="551">
      <c r="A551" s="100"/>
      <c r="B551" s="154"/>
      <c r="C551" s="100"/>
      <c r="D551" s="100"/>
      <c r="E551" s="100"/>
      <c r="F551" s="100"/>
      <c r="G551" s="100"/>
      <c r="H551" s="155"/>
      <c r="I551" s="156"/>
      <c r="J551" s="157"/>
      <c r="K551" s="158"/>
      <c r="L551" s="159"/>
      <c r="M551" s="16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</row>
    <row r="552">
      <c r="A552" s="100"/>
      <c r="B552" s="154"/>
      <c r="C552" s="100"/>
      <c r="D552" s="100"/>
      <c r="E552" s="100"/>
      <c r="F552" s="100"/>
      <c r="G552" s="100"/>
      <c r="H552" s="155"/>
      <c r="I552" s="156"/>
      <c r="J552" s="157"/>
      <c r="K552" s="158"/>
      <c r="L552" s="159"/>
      <c r="M552" s="16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</row>
    <row r="553">
      <c r="A553" s="100"/>
      <c r="B553" s="154"/>
      <c r="C553" s="100"/>
      <c r="D553" s="100"/>
      <c r="E553" s="100"/>
      <c r="F553" s="100"/>
      <c r="G553" s="100"/>
      <c r="H553" s="155"/>
      <c r="I553" s="156"/>
      <c r="J553" s="157"/>
      <c r="K553" s="158"/>
      <c r="L553" s="159"/>
      <c r="M553" s="16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</row>
    <row r="554">
      <c r="A554" s="100"/>
      <c r="B554" s="154"/>
      <c r="C554" s="100"/>
      <c r="D554" s="100"/>
      <c r="E554" s="100"/>
      <c r="F554" s="100"/>
      <c r="G554" s="100"/>
      <c r="H554" s="155"/>
      <c r="I554" s="156"/>
      <c r="J554" s="157"/>
      <c r="K554" s="158"/>
      <c r="L554" s="159"/>
      <c r="M554" s="16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</row>
    <row r="555">
      <c r="A555" s="100"/>
      <c r="B555" s="154"/>
      <c r="C555" s="100"/>
      <c r="D555" s="100"/>
      <c r="E555" s="100"/>
      <c r="F555" s="100"/>
      <c r="G555" s="100"/>
      <c r="H555" s="155"/>
      <c r="I555" s="156"/>
      <c r="J555" s="157"/>
      <c r="K555" s="158"/>
      <c r="L555" s="159"/>
      <c r="M555" s="16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</row>
    <row r="556">
      <c r="A556" s="100"/>
      <c r="B556" s="154"/>
      <c r="C556" s="100"/>
      <c r="D556" s="100"/>
      <c r="E556" s="100"/>
      <c r="F556" s="100"/>
      <c r="G556" s="100"/>
      <c r="H556" s="155"/>
      <c r="I556" s="156"/>
      <c r="J556" s="157"/>
      <c r="K556" s="158"/>
      <c r="L556" s="159"/>
      <c r="M556" s="16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</row>
    <row r="557">
      <c r="A557" s="100"/>
      <c r="B557" s="154"/>
      <c r="C557" s="100"/>
      <c r="D557" s="100"/>
      <c r="E557" s="100"/>
      <c r="F557" s="100"/>
      <c r="G557" s="100"/>
      <c r="H557" s="155"/>
      <c r="I557" s="156"/>
      <c r="J557" s="157"/>
      <c r="K557" s="158"/>
      <c r="L557" s="159"/>
      <c r="M557" s="16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</row>
    <row r="558">
      <c r="A558" s="100"/>
      <c r="B558" s="154"/>
      <c r="C558" s="100"/>
      <c r="D558" s="100"/>
      <c r="E558" s="100"/>
      <c r="F558" s="100"/>
      <c r="G558" s="100"/>
      <c r="H558" s="155"/>
      <c r="I558" s="156"/>
      <c r="J558" s="157"/>
      <c r="K558" s="158"/>
      <c r="L558" s="159"/>
      <c r="M558" s="16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</row>
    <row r="559">
      <c r="A559" s="100"/>
      <c r="B559" s="154"/>
      <c r="C559" s="100"/>
      <c r="D559" s="100"/>
      <c r="E559" s="100"/>
      <c r="F559" s="100"/>
      <c r="G559" s="100"/>
      <c r="H559" s="155"/>
      <c r="I559" s="156"/>
      <c r="J559" s="157"/>
      <c r="K559" s="158"/>
      <c r="L559" s="159"/>
      <c r="M559" s="16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</row>
    <row r="560">
      <c r="A560" s="100"/>
      <c r="B560" s="154"/>
      <c r="C560" s="100"/>
      <c r="D560" s="100"/>
      <c r="E560" s="100"/>
      <c r="F560" s="100"/>
      <c r="G560" s="100"/>
      <c r="H560" s="155"/>
      <c r="I560" s="156"/>
      <c r="J560" s="157"/>
      <c r="K560" s="158"/>
      <c r="L560" s="159"/>
      <c r="M560" s="16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</row>
    <row r="561">
      <c r="A561" s="100"/>
      <c r="B561" s="154"/>
      <c r="C561" s="100"/>
      <c r="D561" s="100"/>
      <c r="E561" s="100"/>
      <c r="F561" s="100"/>
      <c r="G561" s="100"/>
      <c r="H561" s="155"/>
      <c r="I561" s="156"/>
      <c r="J561" s="157"/>
      <c r="K561" s="158"/>
      <c r="L561" s="159"/>
      <c r="M561" s="16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</row>
    <row r="562">
      <c r="A562" s="100"/>
      <c r="B562" s="154"/>
      <c r="C562" s="100"/>
      <c r="D562" s="100"/>
      <c r="E562" s="100"/>
      <c r="F562" s="100"/>
      <c r="G562" s="100"/>
      <c r="H562" s="155"/>
      <c r="I562" s="156"/>
      <c r="J562" s="157"/>
      <c r="K562" s="158"/>
      <c r="L562" s="159"/>
      <c r="M562" s="16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</row>
    <row r="563">
      <c r="A563" s="100"/>
      <c r="B563" s="154"/>
      <c r="C563" s="100"/>
      <c r="D563" s="100"/>
      <c r="E563" s="100"/>
      <c r="F563" s="100"/>
      <c r="G563" s="100"/>
      <c r="H563" s="155"/>
      <c r="I563" s="156"/>
      <c r="J563" s="157"/>
      <c r="K563" s="158"/>
      <c r="L563" s="159"/>
      <c r="M563" s="16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</row>
    <row r="564">
      <c r="A564" s="100"/>
      <c r="B564" s="154"/>
      <c r="C564" s="100"/>
      <c r="D564" s="100"/>
      <c r="E564" s="100"/>
      <c r="F564" s="100"/>
      <c r="G564" s="100"/>
      <c r="H564" s="155"/>
      <c r="I564" s="156"/>
      <c r="J564" s="157"/>
      <c r="K564" s="158"/>
      <c r="L564" s="159"/>
      <c r="M564" s="16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</row>
    <row r="565">
      <c r="A565" s="100"/>
      <c r="B565" s="154"/>
      <c r="C565" s="100"/>
      <c r="D565" s="100"/>
      <c r="E565" s="100"/>
      <c r="F565" s="100"/>
      <c r="G565" s="100"/>
      <c r="H565" s="155"/>
      <c r="I565" s="156"/>
      <c r="J565" s="157"/>
      <c r="K565" s="158"/>
      <c r="L565" s="159"/>
      <c r="M565" s="16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</row>
    <row r="566">
      <c r="A566" s="100"/>
      <c r="B566" s="154"/>
      <c r="C566" s="100"/>
      <c r="D566" s="100"/>
      <c r="E566" s="100"/>
      <c r="F566" s="100"/>
      <c r="G566" s="100"/>
      <c r="H566" s="155"/>
      <c r="I566" s="156"/>
      <c r="J566" s="157"/>
      <c r="K566" s="158"/>
      <c r="L566" s="159"/>
      <c r="M566" s="16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</row>
    <row r="567">
      <c r="A567" s="100"/>
      <c r="B567" s="154"/>
      <c r="C567" s="100"/>
      <c r="D567" s="100"/>
      <c r="E567" s="100"/>
      <c r="F567" s="100"/>
      <c r="G567" s="100"/>
      <c r="H567" s="155"/>
      <c r="I567" s="156"/>
      <c r="J567" s="157"/>
      <c r="K567" s="158"/>
      <c r="L567" s="159"/>
      <c r="M567" s="16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</row>
    <row r="568">
      <c r="A568" s="100"/>
      <c r="B568" s="154"/>
      <c r="C568" s="100"/>
      <c r="D568" s="100"/>
      <c r="E568" s="100"/>
      <c r="F568" s="100"/>
      <c r="G568" s="100"/>
      <c r="H568" s="155"/>
      <c r="I568" s="156"/>
      <c r="J568" s="157"/>
      <c r="K568" s="158"/>
      <c r="L568" s="159"/>
      <c r="M568" s="16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</row>
    <row r="569">
      <c r="A569" s="100"/>
      <c r="B569" s="154"/>
      <c r="C569" s="100"/>
      <c r="D569" s="100"/>
      <c r="E569" s="100"/>
      <c r="F569" s="100"/>
      <c r="G569" s="100"/>
      <c r="H569" s="155"/>
      <c r="I569" s="156"/>
      <c r="J569" s="157"/>
      <c r="K569" s="158"/>
      <c r="L569" s="159"/>
      <c r="M569" s="16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</row>
    <row r="570">
      <c r="A570" s="100"/>
      <c r="B570" s="154"/>
      <c r="C570" s="100"/>
      <c r="D570" s="100"/>
      <c r="E570" s="100"/>
      <c r="F570" s="100"/>
      <c r="G570" s="100"/>
      <c r="H570" s="155"/>
      <c r="I570" s="156"/>
      <c r="J570" s="157"/>
      <c r="K570" s="158"/>
      <c r="L570" s="159"/>
      <c r="M570" s="16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</row>
    <row r="571">
      <c r="A571" s="100"/>
      <c r="B571" s="154"/>
      <c r="C571" s="100"/>
      <c r="D571" s="100"/>
      <c r="E571" s="100"/>
      <c r="F571" s="100"/>
      <c r="G571" s="100"/>
      <c r="H571" s="155"/>
      <c r="I571" s="156"/>
      <c r="J571" s="157"/>
      <c r="K571" s="158"/>
      <c r="L571" s="159"/>
      <c r="M571" s="16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</row>
    <row r="572">
      <c r="A572" s="100"/>
      <c r="B572" s="154"/>
      <c r="C572" s="100"/>
      <c r="D572" s="100"/>
      <c r="E572" s="100"/>
      <c r="F572" s="100"/>
      <c r="G572" s="100"/>
      <c r="H572" s="155"/>
      <c r="I572" s="156"/>
      <c r="J572" s="157"/>
      <c r="K572" s="158"/>
      <c r="L572" s="159"/>
      <c r="M572" s="16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</row>
    <row r="573">
      <c r="A573" s="100"/>
      <c r="B573" s="154"/>
      <c r="C573" s="100"/>
      <c r="D573" s="100"/>
      <c r="E573" s="100"/>
      <c r="F573" s="100"/>
      <c r="G573" s="100"/>
      <c r="H573" s="155"/>
      <c r="I573" s="156"/>
      <c r="J573" s="157"/>
      <c r="K573" s="158"/>
      <c r="L573" s="159"/>
      <c r="M573" s="16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</row>
    <row r="574">
      <c r="A574" s="100"/>
      <c r="B574" s="154"/>
      <c r="C574" s="100"/>
      <c r="D574" s="100"/>
      <c r="E574" s="100"/>
      <c r="F574" s="100"/>
      <c r="G574" s="100"/>
      <c r="H574" s="155"/>
      <c r="I574" s="156"/>
      <c r="J574" s="157"/>
      <c r="K574" s="158"/>
      <c r="L574" s="159"/>
      <c r="M574" s="16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</row>
    <row r="575">
      <c r="A575" s="100"/>
      <c r="B575" s="154"/>
      <c r="C575" s="100"/>
      <c r="D575" s="100"/>
      <c r="E575" s="100"/>
      <c r="F575" s="100"/>
      <c r="G575" s="100"/>
      <c r="H575" s="155"/>
      <c r="I575" s="156"/>
      <c r="J575" s="157"/>
      <c r="K575" s="158"/>
      <c r="L575" s="159"/>
      <c r="M575" s="16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</row>
    <row r="576">
      <c r="A576" s="100"/>
      <c r="B576" s="154"/>
      <c r="C576" s="100"/>
      <c r="D576" s="100"/>
      <c r="E576" s="100"/>
      <c r="F576" s="100"/>
      <c r="G576" s="100"/>
      <c r="H576" s="155"/>
      <c r="I576" s="156"/>
      <c r="J576" s="157"/>
      <c r="K576" s="158"/>
      <c r="L576" s="159"/>
      <c r="M576" s="16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</row>
    <row r="577">
      <c r="A577" s="100"/>
      <c r="B577" s="154"/>
      <c r="C577" s="100"/>
      <c r="D577" s="100"/>
      <c r="E577" s="100"/>
      <c r="F577" s="100"/>
      <c r="G577" s="100"/>
      <c r="H577" s="155"/>
      <c r="I577" s="156"/>
      <c r="J577" s="157"/>
      <c r="K577" s="158"/>
      <c r="L577" s="159"/>
      <c r="M577" s="16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</row>
    <row r="578">
      <c r="A578" s="100"/>
      <c r="B578" s="154"/>
      <c r="C578" s="100"/>
      <c r="D578" s="100"/>
      <c r="E578" s="100"/>
      <c r="F578" s="100"/>
      <c r="G578" s="100"/>
      <c r="H578" s="155"/>
      <c r="I578" s="156"/>
      <c r="J578" s="157"/>
      <c r="K578" s="158"/>
      <c r="L578" s="159"/>
      <c r="M578" s="16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</row>
    <row r="579">
      <c r="A579" s="100"/>
      <c r="B579" s="154"/>
      <c r="C579" s="100"/>
      <c r="D579" s="100"/>
      <c r="E579" s="100"/>
      <c r="F579" s="100"/>
      <c r="G579" s="100"/>
      <c r="H579" s="155"/>
      <c r="I579" s="156"/>
      <c r="J579" s="157"/>
      <c r="K579" s="158"/>
      <c r="L579" s="159"/>
      <c r="M579" s="16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</row>
    <row r="580">
      <c r="A580" s="100"/>
      <c r="B580" s="154"/>
      <c r="C580" s="100"/>
      <c r="D580" s="100"/>
      <c r="E580" s="100"/>
      <c r="F580" s="100"/>
      <c r="G580" s="100"/>
      <c r="H580" s="155"/>
      <c r="I580" s="156"/>
      <c r="J580" s="157"/>
      <c r="K580" s="158"/>
      <c r="L580" s="159"/>
      <c r="M580" s="16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</row>
    <row r="581">
      <c r="A581" s="100"/>
      <c r="B581" s="154"/>
      <c r="C581" s="100"/>
      <c r="D581" s="100"/>
      <c r="E581" s="100"/>
      <c r="F581" s="100"/>
      <c r="G581" s="100"/>
      <c r="H581" s="155"/>
      <c r="I581" s="156"/>
      <c r="J581" s="157"/>
      <c r="K581" s="158"/>
      <c r="L581" s="159"/>
      <c r="M581" s="16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</row>
    <row r="582">
      <c r="A582" s="100"/>
      <c r="B582" s="154"/>
      <c r="C582" s="100"/>
      <c r="D582" s="100"/>
      <c r="E582" s="100"/>
      <c r="F582" s="100"/>
      <c r="G582" s="100"/>
      <c r="H582" s="155"/>
      <c r="I582" s="156"/>
      <c r="J582" s="157"/>
      <c r="K582" s="158"/>
      <c r="L582" s="159"/>
      <c r="M582" s="16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</row>
    <row r="583">
      <c r="A583" s="100"/>
      <c r="B583" s="154"/>
      <c r="C583" s="100"/>
      <c r="D583" s="100"/>
      <c r="E583" s="100"/>
      <c r="F583" s="100"/>
      <c r="G583" s="100"/>
      <c r="H583" s="155"/>
      <c r="I583" s="156"/>
      <c r="J583" s="157"/>
      <c r="K583" s="158"/>
      <c r="L583" s="159"/>
      <c r="M583" s="16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</row>
    <row r="584">
      <c r="A584" s="100"/>
      <c r="B584" s="154"/>
      <c r="C584" s="100"/>
      <c r="D584" s="100"/>
      <c r="E584" s="100"/>
      <c r="F584" s="100"/>
      <c r="G584" s="100"/>
      <c r="H584" s="155"/>
      <c r="I584" s="156"/>
      <c r="J584" s="157"/>
      <c r="K584" s="158"/>
      <c r="L584" s="159"/>
      <c r="M584" s="16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</row>
    <row r="585">
      <c r="A585" s="100"/>
      <c r="B585" s="154"/>
      <c r="C585" s="100"/>
      <c r="D585" s="100"/>
      <c r="E585" s="100"/>
      <c r="F585" s="100"/>
      <c r="G585" s="100"/>
      <c r="H585" s="155"/>
      <c r="I585" s="156"/>
      <c r="J585" s="157"/>
      <c r="K585" s="158"/>
      <c r="L585" s="159"/>
      <c r="M585" s="16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</row>
    <row r="586">
      <c r="A586" s="100"/>
      <c r="B586" s="154"/>
      <c r="C586" s="100"/>
      <c r="D586" s="100"/>
      <c r="E586" s="100"/>
      <c r="F586" s="100"/>
      <c r="G586" s="100"/>
      <c r="H586" s="155"/>
      <c r="I586" s="156"/>
      <c r="J586" s="157"/>
      <c r="K586" s="158"/>
      <c r="L586" s="159"/>
      <c r="M586" s="16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</row>
    <row r="587">
      <c r="A587" s="100"/>
      <c r="B587" s="154"/>
      <c r="C587" s="100"/>
      <c r="D587" s="100"/>
      <c r="E587" s="100"/>
      <c r="F587" s="100"/>
      <c r="G587" s="100"/>
      <c r="H587" s="155"/>
      <c r="I587" s="156"/>
      <c r="J587" s="157"/>
      <c r="K587" s="158"/>
      <c r="L587" s="159"/>
      <c r="M587" s="16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</row>
    <row r="588">
      <c r="A588" s="100"/>
      <c r="B588" s="154"/>
      <c r="C588" s="100"/>
      <c r="D588" s="100"/>
      <c r="E588" s="100"/>
      <c r="F588" s="100"/>
      <c r="G588" s="100"/>
      <c r="H588" s="155"/>
      <c r="I588" s="156"/>
      <c r="J588" s="157"/>
      <c r="K588" s="158"/>
      <c r="L588" s="159"/>
      <c r="M588" s="16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</row>
    <row r="589">
      <c r="A589" s="100"/>
      <c r="B589" s="154"/>
      <c r="C589" s="100"/>
      <c r="D589" s="100"/>
      <c r="E589" s="100"/>
      <c r="F589" s="100"/>
      <c r="G589" s="100"/>
      <c r="H589" s="155"/>
      <c r="I589" s="156"/>
      <c r="J589" s="157"/>
      <c r="K589" s="158"/>
      <c r="L589" s="159"/>
      <c r="M589" s="16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</row>
    <row r="590">
      <c r="A590" s="100"/>
      <c r="B590" s="154"/>
      <c r="C590" s="100"/>
      <c r="D590" s="100"/>
      <c r="E590" s="100"/>
      <c r="F590" s="100"/>
      <c r="G590" s="100"/>
      <c r="H590" s="155"/>
      <c r="I590" s="156"/>
      <c r="J590" s="157"/>
      <c r="K590" s="158"/>
      <c r="L590" s="159"/>
      <c r="M590" s="16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</row>
    <row r="591">
      <c r="A591" s="100"/>
      <c r="B591" s="154"/>
      <c r="C591" s="100"/>
      <c r="D591" s="100"/>
      <c r="E591" s="100"/>
      <c r="F591" s="100"/>
      <c r="G591" s="100"/>
      <c r="H591" s="155"/>
      <c r="I591" s="156"/>
      <c r="J591" s="157"/>
      <c r="K591" s="158"/>
      <c r="L591" s="159"/>
      <c r="M591" s="16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</row>
    <row r="592">
      <c r="A592" s="100"/>
      <c r="B592" s="154"/>
      <c r="C592" s="100"/>
      <c r="D592" s="100"/>
      <c r="E592" s="100"/>
      <c r="F592" s="100"/>
      <c r="G592" s="100"/>
      <c r="H592" s="155"/>
      <c r="I592" s="156"/>
      <c r="J592" s="157"/>
      <c r="K592" s="158"/>
      <c r="L592" s="159"/>
      <c r="M592" s="16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</row>
    <row r="593">
      <c r="A593" s="100"/>
      <c r="B593" s="154"/>
      <c r="C593" s="100"/>
      <c r="D593" s="100"/>
      <c r="E593" s="100"/>
      <c r="F593" s="100"/>
      <c r="G593" s="100"/>
      <c r="H593" s="155"/>
      <c r="I593" s="156"/>
      <c r="J593" s="157"/>
      <c r="K593" s="158"/>
      <c r="L593" s="159"/>
      <c r="M593" s="16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</row>
    <row r="594">
      <c r="A594" s="100"/>
      <c r="B594" s="154"/>
      <c r="C594" s="100"/>
      <c r="D594" s="100"/>
      <c r="E594" s="100"/>
      <c r="F594" s="100"/>
      <c r="G594" s="100"/>
      <c r="H594" s="155"/>
      <c r="I594" s="156"/>
      <c r="J594" s="157"/>
      <c r="K594" s="158"/>
      <c r="L594" s="159"/>
      <c r="M594" s="16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</row>
    <row r="595">
      <c r="A595" s="100"/>
      <c r="B595" s="154"/>
      <c r="C595" s="100"/>
      <c r="D595" s="100"/>
      <c r="E595" s="100"/>
      <c r="F595" s="100"/>
      <c r="G595" s="100"/>
      <c r="H595" s="155"/>
      <c r="I595" s="156"/>
      <c r="J595" s="157"/>
      <c r="K595" s="158"/>
      <c r="L595" s="159"/>
      <c r="M595" s="16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</row>
    <row r="596">
      <c r="A596" s="100"/>
      <c r="B596" s="154"/>
      <c r="C596" s="100"/>
      <c r="D596" s="100"/>
      <c r="E596" s="100"/>
      <c r="F596" s="100"/>
      <c r="G596" s="100"/>
      <c r="H596" s="155"/>
      <c r="I596" s="156"/>
      <c r="J596" s="157"/>
      <c r="K596" s="158"/>
      <c r="L596" s="159"/>
      <c r="M596" s="16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</row>
    <row r="597">
      <c r="A597" s="100"/>
      <c r="B597" s="154"/>
      <c r="C597" s="100"/>
      <c r="D597" s="100"/>
      <c r="E597" s="100"/>
      <c r="F597" s="100"/>
      <c r="G597" s="100"/>
      <c r="H597" s="155"/>
      <c r="I597" s="156"/>
      <c r="J597" s="157"/>
      <c r="K597" s="158"/>
      <c r="L597" s="159"/>
      <c r="M597" s="16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</row>
    <row r="598">
      <c r="A598" s="100"/>
      <c r="B598" s="154"/>
      <c r="C598" s="100"/>
      <c r="D598" s="100"/>
      <c r="E598" s="100"/>
      <c r="F598" s="100"/>
      <c r="G598" s="100"/>
      <c r="H598" s="155"/>
      <c r="I598" s="156"/>
      <c r="J598" s="157"/>
      <c r="K598" s="158"/>
      <c r="L598" s="159"/>
      <c r="M598" s="16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</row>
    <row r="599">
      <c r="A599" s="100"/>
      <c r="B599" s="154"/>
      <c r="C599" s="100"/>
      <c r="D599" s="100"/>
      <c r="E599" s="100"/>
      <c r="F599" s="100"/>
      <c r="G599" s="100"/>
      <c r="H599" s="155"/>
      <c r="I599" s="156"/>
      <c r="J599" s="157"/>
      <c r="K599" s="158"/>
      <c r="L599" s="159"/>
      <c r="M599" s="16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</row>
    <row r="600">
      <c r="A600" s="100"/>
      <c r="B600" s="154"/>
      <c r="C600" s="100"/>
      <c r="D600" s="100"/>
      <c r="E600" s="100"/>
      <c r="F600" s="100"/>
      <c r="G600" s="100"/>
      <c r="H600" s="155"/>
      <c r="I600" s="156"/>
      <c r="J600" s="157"/>
      <c r="K600" s="158"/>
      <c r="L600" s="159"/>
      <c r="M600" s="16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</row>
    <row r="601">
      <c r="A601" s="100"/>
      <c r="B601" s="154"/>
      <c r="C601" s="100"/>
      <c r="D601" s="100"/>
      <c r="E601" s="100"/>
      <c r="F601" s="100"/>
      <c r="G601" s="100"/>
      <c r="H601" s="155"/>
      <c r="I601" s="156"/>
      <c r="J601" s="157"/>
      <c r="K601" s="158"/>
      <c r="L601" s="159"/>
      <c r="M601" s="16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</row>
    <row r="602">
      <c r="A602" s="100"/>
      <c r="B602" s="154"/>
      <c r="C602" s="100"/>
      <c r="D602" s="100"/>
      <c r="E602" s="100"/>
      <c r="F602" s="100"/>
      <c r="G602" s="100"/>
      <c r="H602" s="155"/>
      <c r="I602" s="156"/>
      <c r="J602" s="157"/>
      <c r="K602" s="158"/>
      <c r="L602" s="159"/>
      <c r="M602" s="16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</row>
    <row r="603">
      <c r="A603" s="100"/>
      <c r="B603" s="154"/>
      <c r="C603" s="100"/>
      <c r="D603" s="100"/>
      <c r="E603" s="100"/>
      <c r="F603" s="100"/>
      <c r="G603" s="100"/>
      <c r="H603" s="155"/>
      <c r="I603" s="156"/>
      <c r="J603" s="157"/>
      <c r="K603" s="158"/>
      <c r="L603" s="159"/>
      <c r="M603" s="16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</row>
    <row r="604">
      <c r="A604" s="100"/>
      <c r="B604" s="154"/>
      <c r="C604" s="100"/>
      <c r="D604" s="100"/>
      <c r="E604" s="100"/>
      <c r="F604" s="100"/>
      <c r="G604" s="100"/>
      <c r="H604" s="155"/>
      <c r="I604" s="156"/>
      <c r="J604" s="157"/>
      <c r="K604" s="158"/>
      <c r="L604" s="159"/>
      <c r="M604" s="16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</row>
    <row r="605">
      <c r="A605" s="100"/>
      <c r="B605" s="154"/>
      <c r="C605" s="100"/>
      <c r="D605" s="100"/>
      <c r="E605" s="100"/>
      <c r="F605" s="100"/>
      <c r="G605" s="100"/>
      <c r="H605" s="155"/>
      <c r="I605" s="156"/>
      <c r="J605" s="157"/>
      <c r="K605" s="158"/>
      <c r="L605" s="159"/>
      <c r="M605" s="16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</row>
    <row r="606">
      <c r="A606" s="100"/>
      <c r="B606" s="154"/>
      <c r="C606" s="100"/>
      <c r="D606" s="100"/>
      <c r="E606" s="100"/>
      <c r="F606" s="100"/>
      <c r="G606" s="100"/>
      <c r="H606" s="155"/>
      <c r="I606" s="156"/>
      <c r="J606" s="157"/>
      <c r="K606" s="158"/>
      <c r="L606" s="159"/>
      <c r="M606" s="16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</row>
    <row r="607">
      <c r="A607" s="100"/>
      <c r="B607" s="154"/>
      <c r="C607" s="100"/>
      <c r="D607" s="100"/>
      <c r="E607" s="100"/>
      <c r="F607" s="100"/>
      <c r="G607" s="100"/>
      <c r="H607" s="155"/>
      <c r="I607" s="156"/>
      <c r="J607" s="157"/>
      <c r="K607" s="158"/>
      <c r="L607" s="159"/>
      <c r="M607" s="16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</row>
    <row r="608">
      <c r="A608" s="100"/>
      <c r="B608" s="154"/>
      <c r="C608" s="100"/>
      <c r="D608" s="100"/>
      <c r="E608" s="100"/>
      <c r="F608" s="100"/>
      <c r="G608" s="100"/>
      <c r="H608" s="155"/>
      <c r="I608" s="156"/>
      <c r="J608" s="157"/>
      <c r="K608" s="158"/>
      <c r="L608" s="159"/>
      <c r="M608" s="16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</row>
    <row r="609">
      <c r="A609" s="100"/>
      <c r="B609" s="154"/>
      <c r="C609" s="100"/>
      <c r="D609" s="100"/>
      <c r="E609" s="100"/>
      <c r="F609" s="100"/>
      <c r="G609" s="100"/>
      <c r="H609" s="155"/>
      <c r="I609" s="156"/>
      <c r="J609" s="157"/>
      <c r="K609" s="158"/>
      <c r="L609" s="159"/>
      <c r="M609" s="16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</row>
    <row r="610">
      <c r="A610" s="100"/>
      <c r="B610" s="154"/>
      <c r="C610" s="100"/>
      <c r="D610" s="100"/>
      <c r="E610" s="100"/>
      <c r="F610" s="100"/>
      <c r="G610" s="100"/>
      <c r="H610" s="155"/>
      <c r="I610" s="156"/>
      <c r="J610" s="157"/>
      <c r="K610" s="158"/>
      <c r="L610" s="159"/>
      <c r="M610" s="16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</row>
    <row r="611">
      <c r="A611" s="100"/>
      <c r="B611" s="154"/>
      <c r="C611" s="100"/>
      <c r="D611" s="100"/>
      <c r="E611" s="100"/>
      <c r="F611" s="100"/>
      <c r="G611" s="100"/>
      <c r="H611" s="155"/>
      <c r="I611" s="156"/>
      <c r="J611" s="157"/>
      <c r="K611" s="158"/>
      <c r="L611" s="159"/>
      <c r="M611" s="16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</row>
    <row r="612">
      <c r="A612" s="100"/>
      <c r="B612" s="154"/>
      <c r="C612" s="100"/>
      <c r="D612" s="100"/>
      <c r="E612" s="100"/>
      <c r="F612" s="100"/>
      <c r="G612" s="100"/>
      <c r="H612" s="155"/>
      <c r="I612" s="156"/>
      <c r="J612" s="157"/>
      <c r="K612" s="158"/>
      <c r="L612" s="159"/>
      <c r="M612" s="16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</row>
    <row r="613">
      <c r="A613" s="100"/>
      <c r="B613" s="154"/>
      <c r="C613" s="100"/>
      <c r="D613" s="100"/>
      <c r="E613" s="100"/>
      <c r="F613" s="100"/>
      <c r="G613" s="100"/>
      <c r="H613" s="155"/>
      <c r="I613" s="156"/>
      <c r="J613" s="157"/>
      <c r="K613" s="158"/>
      <c r="L613" s="159"/>
      <c r="M613" s="16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</row>
    <row r="614">
      <c r="A614" s="100"/>
      <c r="B614" s="154"/>
      <c r="C614" s="100"/>
      <c r="D614" s="100"/>
      <c r="E614" s="100"/>
      <c r="F614" s="100"/>
      <c r="G614" s="100"/>
      <c r="H614" s="155"/>
      <c r="I614" s="156"/>
      <c r="J614" s="157"/>
      <c r="K614" s="158"/>
      <c r="L614" s="159"/>
      <c r="M614" s="16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</row>
    <row r="615">
      <c r="A615" s="100"/>
      <c r="B615" s="154"/>
      <c r="C615" s="100"/>
      <c r="D615" s="100"/>
      <c r="E615" s="100"/>
      <c r="F615" s="100"/>
      <c r="G615" s="100"/>
      <c r="H615" s="155"/>
      <c r="I615" s="156"/>
      <c r="J615" s="157"/>
      <c r="K615" s="158"/>
      <c r="L615" s="159"/>
      <c r="M615" s="16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</row>
    <row r="616">
      <c r="A616" s="100"/>
      <c r="B616" s="154"/>
      <c r="C616" s="100"/>
      <c r="D616" s="100"/>
      <c r="E616" s="100"/>
      <c r="F616" s="100"/>
      <c r="G616" s="100"/>
      <c r="H616" s="155"/>
      <c r="I616" s="156"/>
      <c r="J616" s="157"/>
      <c r="K616" s="158"/>
      <c r="L616" s="159"/>
      <c r="M616" s="16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</row>
    <row r="617">
      <c r="A617" s="100"/>
      <c r="B617" s="154"/>
      <c r="C617" s="100"/>
      <c r="D617" s="100"/>
      <c r="E617" s="100"/>
      <c r="F617" s="100"/>
      <c r="G617" s="100"/>
      <c r="H617" s="155"/>
      <c r="I617" s="156"/>
      <c r="J617" s="157"/>
      <c r="K617" s="158"/>
      <c r="L617" s="159"/>
      <c r="M617" s="16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</row>
    <row r="618">
      <c r="A618" s="100"/>
      <c r="B618" s="154"/>
      <c r="C618" s="100"/>
      <c r="D618" s="100"/>
      <c r="E618" s="100"/>
      <c r="F618" s="100"/>
      <c r="G618" s="100"/>
      <c r="H618" s="155"/>
      <c r="I618" s="156"/>
      <c r="J618" s="157"/>
      <c r="K618" s="158"/>
      <c r="L618" s="159"/>
      <c r="M618" s="16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</row>
    <row r="619">
      <c r="A619" s="100"/>
      <c r="B619" s="154"/>
      <c r="C619" s="100"/>
      <c r="D619" s="100"/>
      <c r="E619" s="100"/>
      <c r="F619" s="100"/>
      <c r="G619" s="100"/>
      <c r="H619" s="155"/>
      <c r="I619" s="156"/>
      <c r="J619" s="157"/>
      <c r="K619" s="158"/>
      <c r="L619" s="159"/>
      <c r="M619" s="16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</row>
    <row r="620">
      <c r="A620" s="100"/>
      <c r="B620" s="154"/>
      <c r="C620" s="100"/>
      <c r="D620" s="100"/>
      <c r="E620" s="100"/>
      <c r="F620" s="100"/>
      <c r="G620" s="100"/>
      <c r="H620" s="155"/>
      <c r="I620" s="156"/>
      <c r="J620" s="157"/>
      <c r="K620" s="158"/>
      <c r="L620" s="159"/>
      <c r="M620" s="16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</row>
    <row r="621">
      <c r="A621" s="100"/>
      <c r="B621" s="154"/>
      <c r="C621" s="100"/>
      <c r="D621" s="100"/>
      <c r="E621" s="100"/>
      <c r="F621" s="100"/>
      <c r="G621" s="100"/>
      <c r="H621" s="155"/>
      <c r="I621" s="156"/>
      <c r="J621" s="157"/>
      <c r="K621" s="158"/>
      <c r="L621" s="159"/>
      <c r="M621" s="16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</row>
    <row r="622">
      <c r="A622" s="100"/>
      <c r="B622" s="154"/>
      <c r="C622" s="100"/>
      <c r="D622" s="100"/>
      <c r="E622" s="100"/>
      <c r="F622" s="100"/>
      <c r="G622" s="100"/>
      <c r="H622" s="155"/>
      <c r="I622" s="156"/>
      <c r="J622" s="157"/>
      <c r="K622" s="158"/>
      <c r="L622" s="159"/>
      <c r="M622" s="16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</row>
    <row r="623">
      <c r="A623" s="100"/>
      <c r="B623" s="154"/>
      <c r="C623" s="100"/>
      <c r="D623" s="100"/>
      <c r="E623" s="100"/>
      <c r="F623" s="100"/>
      <c r="G623" s="100"/>
      <c r="H623" s="155"/>
      <c r="I623" s="156"/>
      <c r="J623" s="157"/>
      <c r="K623" s="158"/>
      <c r="L623" s="159"/>
      <c r="M623" s="16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</row>
    <row r="624">
      <c r="A624" s="100"/>
      <c r="B624" s="154"/>
      <c r="C624" s="100"/>
      <c r="D624" s="100"/>
      <c r="E624" s="100"/>
      <c r="F624" s="100"/>
      <c r="G624" s="100"/>
      <c r="H624" s="155"/>
      <c r="I624" s="156"/>
      <c r="J624" s="157"/>
      <c r="K624" s="158"/>
      <c r="L624" s="159"/>
      <c r="M624" s="16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</row>
    <row r="625">
      <c r="A625" s="100"/>
      <c r="B625" s="154"/>
      <c r="C625" s="100"/>
      <c r="D625" s="100"/>
      <c r="E625" s="100"/>
      <c r="F625" s="100"/>
      <c r="G625" s="100"/>
      <c r="H625" s="155"/>
      <c r="I625" s="156"/>
      <c r="J625" s="157"/>
      <c r="K625" s="158"/>
      <c r="L625" s="159"/>
      <c r="M625" s="16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</row>
    <row r="626">
      <c r="A626" s="100"/>
      <c r="B626" s="154"/>
      <c r="C626" s="100"/>
      <c r="D626" s="100"/>
      <c r="E626" s="100"/>
      <c r="F626" s="100"/>
      <c r="G626" s="100"/>
      <c r="H626" s="155"/>
      <c r="I626" s="156"/>
      <c r="J626" s="157"/>
      <c r="K626" s="158"/>
      <c r="L626" s="159"/>
      <c r="M626" s="16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</row>
    <row r="627">
      <c r="A627" s="100"/>
      <c r="B627" s="154"/>
      <c r="C627" s="100"/>
      <c r="D627" s="100"/>
      <c r="E627" s="100"/>
      <c r="F627" s="100"/>
      <c r="G627" s="100"/>
      <c r="H627" s="155"/>
      <c r="I627" s="156"/>
      <c r="J627" s="157"/>
      <c r="K627" s="158"/>
      <c r="L627" s="159"/>
      <c r="M627" s="16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</row>
    <row r="628">
      <c r="A628" s="100"/>
      <c r="B628" s="154"/>
      <c r="C628" s="100"/>
      <c r="D628" s="100"/>
      <c r="E628" s="100"/>
      <c r="F628" s="100"/>
      <c r="G628" s="100"/>
      <c r="H628" s="155"/>
      <c r="I628" s="156"/>
      <c r="J628" s="157"/>
      <c r="K628" s="158"/>
      <c r="L628" s="159"/>
      <c r="M628" s="16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</row>
    <row r="629">
      <c r="A629" s="100"/>
      <c r="B629" s="154"/>
      <c r="C629" s="100"/>
      <c r="D629" s="100"/>
      <c r="E629" s="100"/>
      <c r="F629" s="100"/>
      <c r="G629" s="100"/>
      <c r="H629" s="155"/>
      <c r="I629" s="156"/>
      <c r="J629" s="157"/>
      <c r="K629" s="158"/>
      <c r="L629" s="159"/>
      <c r="M629" s="16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</row>
    <row r="630">
      <c r="A630" s="100"/>
      <c r="B630" s="154"/>
      <c r="C630" s="100"/>
      <c r="D630" s="100"/>
      <c r="E630" s="100"/>
      <c r="F630" s="100"/>
      <c r="G630" s="100"/>
      <c r="H630" s="155"/>
      <c r="I630" s="156"/>
      <c r="J630" s="157"/>
      <c r="K630" s="158"/>
      <c r="L630" s="159"/>
      <c r="M630" s="16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</row>
    <row r="631">
      <c r="A631" s="100"/>
      <c r="B631" s="154"/>
      <c r="C631" s="100"/>
      <c r="D631" s="100"/>
      <c r="E631" s="100"/>
      <c r="F631" s="100"/>
      <c r="G631" s="100"/>
      <c r="H631" s="155"/>
      <c r="I631" s="156"/>
      <c r="J631" s="157"/>
      <c r="K631" s="158"/>
      <c r="L631" s="159"/>
      <c r="M631" s="16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</row>
    <row r="632">
      <c r="A632" s="100"/>
      <c r="B632" s="154"/>
      <c r="C632" s="100"/>
      <c r="D632" s="100"/>
      <c r="E632" s="100"/>
      <c r="F632" s="100"/>
      <c r="G632" s="100"/>
      <c r="H632" s="155"/>
      <c r="I632" s="156"/>
      <c r="J632" s="157"/>
      <c r="K632" s="158"/>
      <c r="L632" s="159"/>
      <c r="M632" s="16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</row>
    <row r="633">
      <c r="A633" s="100"/>
      <c r="B633" s="154"/>
      <c r="C633" s="100"/>
      <c r="D633" s="100"/>
      <c r="E633" s="100"/>
      <c r="F633" s="100"/>
      <c r="G633" s="100"/>
      <c r="H633" s="155"/>
      <c r="I633" s="156"/>
      <c r="J633" s="157"/>
      <c r="K633" s="158"/>
      <c r="L633" s="159"/>
      <c r="M633" s="16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</row>
    <row r="634">
      <c r="A634" s="100"/>
      <c r="B634" s="154"/>
      <c r="C634" s="100"/>
      <c r="D634" s="100"/>
      <c r="E634" s="100"/>
      <c r="F634" s="100"/>
      <c r="G634" s="100"/>
      <c r="H634" s="155"/>
      <c r="I634" s="156"/>
      <c r="J634" s="157"/>
      <c r="K634" s="158"/>
      <c r="L634" s="159"/>
      <c r="M634" s="16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</row>
    <row r="635">
      <c r="A635" s="100"/>
      <c r="B635" s="154"/>
      <c r="C635" s="100"/>
      <c r="D635" s="100"/>
      <c r="E635" s="100"/>
      <c r="F635" s="100"/>
      <c r="G635" s="100"/>
      <c r="H635" s="155"/>
      <c r="I635" s="156"/>
      <c r="J635" s="157"/>
      <c r="K635" s="158"/>
      <c r="L635" s="159"/>
      <c r="M635" s="16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</row>
    <row r="636">
      <c r="A636" s="100"/>
      <c r="B636" s="154"/>
      <c r="C636" s="100"/>
      <c r="D636" s="100"/>
      <c r="E636" s="100"/>
      <c r="F636" s="100"/>
      <c r="G636" s="100"/>
      <c r="H636" s="155"/>
      <c r="I636" s="156"/>
      <c r="J636" s="157"/>
      <c r="K636" s="158"/>
      <c r="L636" s="159"/>
      <c r="M636" s="16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</row>
    <row r="637">
      <c r="A637" s="100"/>
      <c r="B637" s="154"/>
      <c r="C637" s="100"/>
      <c r="D637" s="100"/>
      <c r="E637" s="100"/>
      <c r="F637" s="100"/>
      <c r="G637" s="100"/>
      <c r="H637" s="155"/>
      <c r="I637" s="156"/>
      <c r="J637" s="157"/>
      <c r="K637" s="158"/>
      <c r="L637" s="159"/>
      <c r="M637" s="16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</row>
    <row r="638">
      <c r="A638" s="100"/>
      <c r="B638" s="154"/>
      <c r="C638" s="100"/>
      <c r="D638" s="100"/>
      <c r="E638" s="100"/>
      <c r="F638" s="100"/>
      <c r="G638" s="100"/>
      <c r="H638" s="155"/>
      <c r="I638" s="156"/>
      <c r="J638" s="157"/>
      <c r="K638" s="158"/>
      <c r="L638" s="159"/>
      <c r="M638" s="16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</row>
    <row r="639">
      <c r="A639" s="100"/>
      <c r="B639" s="154"/>
      <c r="C639" s="100"/>
      <c r="D639" s="100"/>
      <c r="E639" s="100"/>
      <c r="F639" s="100"/>
      <c r="G639" s="100"/>
      <c r="H639" s="155"/>
      <c r="I639" s="156"/>
      <c r="J639" s="157"/>
      <c r="K639" s="158"/>
      <c r="L639" s="159"/>
      <c r="M639" s="16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</row>
    <row r="640">
      <c r="A640" s="100"/>
      <c r="B640" s="154"/>
      <c r="C640" s="100"/>
      <c r="D640" s="100"/>
      <c r="E640" s="100"/>
      <c r="F640" s="100"/>
      <c r="G640" s="100"/>
      <c r="H640" s="155"/>
      <c r="I640" s="156"/>
      <c r="J640" s="157"/>
      <c r="K640" s="158"/>
      <c r="L640" s="159"/>
      <c r="M640" s="16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</row>
    <row r="641">
      <c r="A641" s="100"/>
      <c r="B641" s="154"/>
      <c r="C641" s="100"/>
      <c r="D641" s="100"/>
      <c r="E641" s="100"/>
      <c r="F641" s="100"/>
      <c r="G641" s="100"/>
      <c r="H641" s="155"/>
      <c r="I641" s="156"/>
      <c r="J641" s="157"/>
      <c r="K641" s="158"/>
      <c r="L641" s="159"/>
      <c r="M641" s="16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</row>
    <row r="642">
      <c r="A642" s="100"/>
      <c r="B642" s="154"/>
      <c r="C642" s="100"/>
      <c r="D642" s="100"/>
      <c r="E642" s="100"/>
      <c r="F642" s="100"/>
      <c r="G642" s="100"/>
      <c r="H642" s="155"/>
      <c r="I642" s="156"/>
      <c r="J642" s="157"/>
      <c r="K642" s="158"/>
      <c r="L642" s="159"/>
      <c r="M642" s="16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</row>
    <row r="643">
      <c r="A643" s="100"/>
      <c r="B643" s="154"/>
      <c r="C643" s="100"/>
      <c r="D643" s="100"/>
      <c r="E643" s="100"/>
      <c r="F643" s="100"/>
      <c r="G643" s="100"/>
      <c r="H643" s="155"/>
      <c r="I643" s="156"/>
      <c r="J643" s="157"/>
      <c r="K643" s="158"/>
      <c r="L643" s="159"/>
      <c r="M643" s="16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</row>
    <row r="644">
      <c r="A644" s="100"/>
      <c r="B644" s="154"/>
      <c r="C644" s="100"/>
      <c r="D644" s="100"/>
      <c r="E644" s="100"/>
      <c r="F644" s="100"/>
      <c r="G644" s="100"/>
      <c r="H644" s="155"/>
      <c r="I644" s="156"/>
      <c r="J644" s="157"/>
      <c r="K644" s="158"/>
      <c r="L644" s="159"/>
      <c r="M644" s="16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</row>
    <row r="645">
      <c r="A645" s="100"/>
      <c r="B645" s="154"/>
      <c r="C645" s="100"/>
      <c r="D645" s="100"/>
      <c r="E645" s="100"/>
      <c r="F645" s="100"/>
      <c r="G645" s="100"/>
      <c r="H645" s="155"/>
      <c r="I645" s="156"/>
      <c r="J645" s="157"/>
      <c r="K645" s="158"/>
      <c r="L645" s="159"/>
      <c r="M645" s="16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</row>
    <row r="646">
      <c r="A646" s="100"/>
      <c r="B646" s="154"/>
      <c r="C646" s="100"/>
      <c r="D646" s="100"/>
      <c r="E646" s="100"/>
      <c r="F646" s="100"/>
      <c r="G646" s="100"/>
      <c r="H646" s="155"/>
      <c r="I646" s="156"/>
      <c r="J646" s="157"/>
      <c r="K646" s="158"/>
      <c r="L646" s="159"/>
      <c r="M646" s="16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</row>
    <row r="647">
      <c r="A647" s="100"/>
      <c r="B647" s="154"/>
      <c r="C647" s="100"/>
      <c r="D647" s="100"/>
      <c r="E647" s="100"/>
      <c r="F647" s="100"/>
      <c r="G647" s="100"/>
      <c r="H647" s="155"/>
      <c r="I647" s="156"/>
      <c r="J647" s="157"/>
      <c r="K647" s="158"/>
      <c r="L647" s="159"/>
      <c r="M647" s="16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</row>
    <row r="648">
      <c r="A648" s="100"/>
      <c r="B648" s="154"/>
      <c r="C648" s="100"/>
      <c r="D648" s="100"/>
      <c r="E648" s="100"/>
      <c r="F648" s="100"/>
      <c r="G648" s="100"/>
      <c r="H648" s="155"/>
      <c r="I648" s="156"/>
      <c r="J648" s="157"/>
      <c r="K648" s="158"/>
      <c r="L648" s="159"/>
      <c r="M648" s="16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</row>
    <row r="649">
      <c r="A649" s="100"/>
      <c r="B649" s="154"/>
      <c r="C649" s="100"/>
      <c r="D649" s="100"/>
      <c r="E649" s="100"/>
      <c r="F649" s="100"/>
      <c r="G649" s="100"/>
      <c r="H649" s="155"/>
      <c r="I649" s="156"/>
      <c r="J649" s="157"/>
      <c r="K649" s="158"/>
      <c r="L649" s="159"/>
      <c r="M649" s="16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</row>
    <row r="650">
      <c r="A650" s="100"/>
      <c r="B650" s="154"/>
      <c r="C650" s="100"/>
      <c r="D650" s="100"/>
      <c r="E650" s="100"/>
      <c r="F650" s="100"/>
      <c r="G650" s="100"/>
      <c r="H650" s="155"/>
      <c r="I650" s="156"/>
      <c r="J650" s="157"/>
      <c r="K650" s="158"/>
      <c r="L650" s="159"/>
      <c r="M650" s="16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</row>
    <row r="651">
      <c r="A651" s="100"/>
      <c r="B651" s="154"/>
      <c r="C651" s="100"/>
      <c r="D651" s="100"/>
      <c r="E651" s="100"/>
      <c r="F651" s="100"/>
      <c r="G651" s="100"/>
      <c r="H651" s="155"/>
      <c r="I651" s="156"/>
      <c r="J651" s="157"/>
      <c r="K651" s="158"/>
      <c r="L651" s="159"/>
      <c r="M651" s="16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</row>
    <row r="652">
      <c r="A652" s="100"/>
      <c r="B652" s="154"/>
      <c r="C652" s="100"/>
      <c r="D652" s="100"/>
      <c r="E652" s="100"/>
      <c r="F652" s="100"/>
      <c r="G652" s="100"/>
      <c r="H652" s="155"/>
      <c r="I652" s="156"/>
      <c r="J652" s="157"/>
      <c r="K652" s="158"/>
      <c r="L652" s="159"/>
      <c r="M652" s="16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</row>
    <row r="653">
      <c r="A653" s="100"/>
      <c r="B653" s="154"/>
      <c r="C653" s="100"/>
      <c r="D653" s="100"/>
      <c r="E653" s="100"/>
      <c r="F653" s="100"/>
      <c r="G653" s="100"/>
      <c r="H653" s="155"/>
      <c r="I653" s="156"/>
      <c r="J653" s="157"/>
      <c r="K653" s="158"/>
      <c r="L653" s="159"/>
      <c r="M653" s="16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</row>
    <row r="654">
      <c r="A654" s="100"/>
      <c r="B654" s="154"/>
      <c r="C654" s="100"/>
      <c r="D654" s="100"/>
      <c r="E654" s="100"/>
      <c r="F654" s="100"/>
      <c r="G654" s="100"/>
      <c r="H654" s="155"/>
      <c r="I654" s="156"/>
      <c r="J654" s="157"/>
      <c r="K654" s="158"/>
      <c r="L654" s="159"/>
      <c r="M654" s="16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</row>
    <row r="655">
      <c r="A655" s="100"/>
      <c r="B655" s="154"/>
      <c r="C655" s="100"/>
      <c r="D655" s="100"/>
      <c r="E655" s="100"/>
      <c r="F655" s="100"/>
      <c r="G655" s="100"/>
      <c r="H655" s="155"/>
      <c r="I655" s="156"/>
      <c r="J655" s="157"/>
      <c r="K655" s="158"/>
      <c r="L655" s="159"/>
      <c r="M655" s="16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</row>
    <row r="656">
      <c r="A656" s="100"/>
      <c r="B656" s="154"/>
      <c r="C656" s="100"/>
      <c r="D656" s="100"/>
      <c r="E656" s="100"/>
      <c r="F656" s="100"/>
      <c r="G656" s="100"/>
      <c r="H656" s="155"/>
      <c r="I656" s="156"/>
      <c r="J656" s="157"/>
      <c r="K656" s="158"/>
      <c r="L656" s="159"/>
      <c r="M656" s="16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</row>
    <row r="657">
      <c r="A657" s="100"/>
      <c r="B657" s="154"/>
      <c r="C657" s="100"/>
      <c r="D657" s="100"/>
      <c r="E657" s="100"/>
      <c r="F657" s="100"/>
      <c r="G657" s="100"/>
      <c r="H657" s="155"/>
      <c r="I657" s="156"/>
      <c r="J657" s="157"/>
      <c r="K657" s="158"/>
      <c r="L657" s="159"/>
      <c r="M657" s="16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</row>
    <row r="658">
      <c r="A658" s="100"/>
      <c r="B658" s="154"/>
      <c r="C658" s="100"/>
      <c r="D658" s="100"/>
      <c r="E658" s="100"/>
      <c r="F658" s="100"/>
      <c r="G658" s="100"/>
      <c r="H658" s="155"/>
      <c r="I658" s="156"/>
      <c r="J658" s="157"/>
      <c r="K658" s="158"/>
      <c r="L658" s="159"/>
      <c r="M658" s="16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</row>
    <row r="659">
      <c r="A659" s="100"/>
      <c r="B659" s="154"/>
      <c r="C659" s="100"/>
      <c r="D659" s="100"/>
      <c r="E659" s="100"/>
      <c r="F659" s="100"/>
      <c r="G659" s="100"/>
      <c r="H659" s="155"/>
      <c r="I659" s="156"/>
      <c r="J659" s="157"/>
      <c r="K659" s="158"/>
      <c r="L659" s="159"/>
      <c r="M659" s="16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</row>
    <row r="660">
      <c r="A660" s="100"/>
      <c r="B660" s="154"/>
      <c r="C660" s="100"/>
      <c r="D660" s="100"/>
      <c r="E660" s="100"/>
      <c r="F660" s="100"/>
      <c r="G660" s="100"/>
      <c r="H660" s="155"/>
      <c r="I660" s="156"/>
      <c r="J660" s="157"/>
      <c r="K660" s="158"/>
      <c r="L660" s="159"/>
      <c r="M660" s="16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</row>
    <row r="661">
      <c r="A661" s="100"/>
      <c r="B661" s="154"/>
      <c r="C661" s="100"/>
      <c r="D661" s="100"/>
      <c r="E661" s="100"/>
      <c r="F661" s="100"/>
      <c r="G661" s="100"/>
      <c r="H661" s="155"/>
      <c r="I661" s="156"/>
      <c r="J661" s="157"/>
      <c r="K661" s="158"/>
      <c r="L661" s="159"/>
      <c r="M661" s="16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</row>
    <row r="662">
      <c r="A662" s="100"/>
      <c r="B662" s="154"/>
      <c r="C662" s="100"/>
      <c r="D662" s="100"/>
      <c r="E662" s="100"/>
      <c r="F662" s="100"/>
      <c r="G662" s="100"/>
      <c r="H662" s="155"/>
      <c r="I662" s="156"/>
      <c r="J662" s="157"/>
      <c r="K662" s="158"/>
      <c r="L662" s="159"/>
      <c r="M662" s="16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</row>
    <row r="663">
      <c r="A663" s="100"/>
      <c r="B663" s="154"/>
      <c r="C663" s="100"/>
      <c r="D663" s="100"/>
      <c r="E663" s="100"/>
      <c r="F663" s="100"/>
      <c r="G663" s="100"/>
      <c r="H663" s="155"/>
      <c r="I663" s="156"/>
      <c r="J663" s="157"/>
      <c r="K663" s="158"/>
      <c r="L663" s="159"/>
      <c r="M663" s="16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</row>
    <row r="664">
      <c r="A664" s="100"/>
      <c r="B664" s="154"/>
      <c r="C664" s="100"/>
      <c r="D664" s="100"/>
      <c r="E664" s="100"/>
      <c r="F664" s="100"/>
      <c r="G664" s="100"/>
      <c r="H664" s="155"/>
      <c r="I664" s="156"/>
      <c r="J664" s="157"/>
      <c r="K664" s="158"/>
      <c r="L664" s="159"/>
      <c r="M664" s="16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</row>
    <row r="665">
      <c r="A665" s="100"/>
      <c r="B665" s="154"/>
      <c r="C665" s="100"/>
      <c r="D665" s="100"/>
      <c r="E665" s="100"/>
      <c r="F665" s="100"/>
      <c r="G665" s="100"/>
      <c r="H665" s="155"/>
      <c r="I665" s="156"/>
      <c r="J665" s="157"/>
      <c r="K665" s="158"/>
      <c r="L665" s="159"/>
      <c r="M665" s="16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</row>
    <row r="666">
      <c r="A666" s="100"/>
      <c r="B666" s="154"/>
      <c r="C666" s="100"/>
      <c r="D666" s="100"/>
      <c r="E666" s="100"/>
      <c r="F666" s="100"/>
      <c r="G666" s="100"/>
      <c r="H666" s="155"/>
      <c r="I666" s="156"/>
      <c r="J666" s="157"/>
      <c r="K666" s="158"/>
      <c r="L666" s="159"/>
      <c r="M666" s="16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</row>
    <row r="667">
      <c r="A667" s="100"/>
      <c r="B667" s="154"/>
      <c r="C667" s="100"/>
      <c r="D667" s="100"/>
      <c r="E667" s="100"/>
      <c r="F667" s="100"/>
      <c r="G667" s="100"/>
      <c r="H667" s="155"/>
      <c r="I667" s="156"/>
      <c r="J667" s="157"/>
      <c r="K667" s="158"/>
      <c r="L667" s="159"/>
      <c r="M667" s="16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</row>
    <row r="668">
      <c r="A668" s="100"/>
      <c r="B668" s="154"/>
      <c r="C668" s="100"/>
      <c r="D668" s="100"/>
      <c r="E668" s="100"/>
      <c r="F668" s="100"/>
      <c r="G668" s="100"/>
      <c r="H668" s="155"/>
      <c r="I668" s="156"/>
      <c r="J668" s="157"/>
      <c r="K668" s="158"/>
      <c r="L668" s="159"/>
      <c r="M668" s="16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</row>
    <row r="669">
      <c r="A669" s="100"/>
      <c r="B669" s="154"/>
      <c r="C669" s="100"/>
      <c r="D669" s="100"/>
      <c r="E669" s="100"/>
      <c r="F669" s="100"/>
      <c r="G669" s="100"/>
      <c r="H669" s="155"/>
      <c r="I669" s="156"/>
      <c r="J669" s="157"/>
      <c r="K669" s="158"/>
      <c r="L669" s="159"/>
      <c r="M669" s="16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</row>
    <row r="670">
      <c r="A670" s="100"/>
      <c r="B670" s="154"/>
      <c r="C670" s="100"/>
      <c r="D670" s="100"/>
      <c r="E670" s="100"/>
      <c r="F670" s="100"/>
      <c r="G670" s="100"/>
      <c r="H670" s="155"/>
      <c r="I670" s="156"/>
      <c r="J670" s="157"/>
      <c r="K670" s="158"/>
      <c r="L670" s="159"/>
      <c r="M670" s="16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</row>
    <row r="671">
      <c r="A671" s="100"/>
      <c r="B671" s="154"/>
      <c r="C671" s="100"/>
      <c r="D671" s="100"/>
      <c r="E671" s="100"/>
      <c r="F671" s="100"/>
      <c r="G671" s="100"/>
      <c r="H671" s="155"/>
      <c r="I671" s="156"/>
      <c r="J671" s="157"/>
      <c r="K671" s="158"/>
      <c r="L671" s="159"/>
      <c r="M671" s="16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</row>
    <row r="672">
      <c r="A672" s="100"/>
      <c r="B672" s="154"/>
      <c r="C672" s="100"/>
      <c r="D672" s="100"/>
      <c r="E672" s="100"/>
      <c r="F672" s="100"/>
      <c r="G672" s="100"/>
      <c r="H672" s="155"/>
      <c r="I672" s="156"/>
      <c r="J672" s="157"/>
      <c r="K672" s="158"/>
      <c r="L672" s="159"/>
      <c r="M672" s="16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</row>
    <row r="673">
      <c r="A673" s="100"/>
      <c r="B673" s="154"/>
      <c r="C673" s="100"/>
      <c r="D673" s="100"/>
      <c r="E673" s="100"/>
      <c r="F673" s="100"/>
      <c r="G673" s="100"/>
      <c r="H673" s="155"/>
      <c r="I673" s="156"/>
      <c r="J673" s="157"/>
      <c r="K673" s="158"/>
      <c r="L673" s="159"/>
      <c r="M673" s="16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</row>
    <row r="674">
      <c r="A674" s="100"/>
      <c r="B674" s="154"/>
      <c r="C674" s="100"/>
      <c r="D674" s="100"/>
      <c r="E674" s="100"/>
      <c r="F674" s="100"/>
      <c r="G674" s="100"/>
      <c r="H674" s="155"/>
      <c r="I674" s="156"/>
      <c r="J674" s="157"/>
      <c r="K674" s="158"/>
      <c r="L674" s="159"/>
      <c r="M674" s="16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</row>
    <row r="675">
      <c r="A675" s="100"/>
      <c r="B675" s="154"/>
      <c r="C675" s="100"/>
      <c r="D675" s="100"/>
      <c r="E675" s="100"/>
      <c r="F675" s="100"/>
      <c r="G675" s="100"/>
      <c r="H675" s="155"/>
      <c r="I675" s="156"/>
      <c r="J675" s="157"/>
      <c r="K675" s="158"/>
      <c r="L675" s="159"/>
      <c r="M675" s="16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</row>
    <row r="676">
      <c r="A676" s="100"/>
      <c r="B676" s="154"/>
      <c r="C676" s="100"/>
      <c r="D676" s="100"/>
      <c r="E676" s="100"/>
      <c r="F676" s="100"/>
      <c r="G676" s="100"/>
      <c r="H676" s="155"/>
      <c r="I676" s="156"/>
      <c r="J676" s="157"/>
      <c r="K676" s="158"/>
      <c r="L676" s="159"/>
      <c r="M676" s="16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</row>
    <row r="677">
      <c r="A677" s="100"/>
      <c r="B677" s="154"/>
      <c r="C677" s="100"/>
      <c r="D677" s="100"/>
      <c r="E677" s="100"/>
      <c r="F677" s="100"/>
      <c r="G677" s="100"/>
      <c r="H677" s="155"/>
      <c r="I677" s="156"/>
      <c r="J677" s="157"/>
      <c r="K677" s="158"/>
      <c r="L677" s="159"/>
      <c r="M677" s="16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</row>
    <row r="678">
      <c r="A678" s="100"/>
      <c r="B678" s="154"/>
      <c r="C678" s="100"/>
      <c r="D678" s="100"/>
      <c r="E678" s="100"/>
      <c r="F678" s="100"/>
      <c r="G678" s="100"/>
      <c r="H678" s="155"/>
      <c r="I678" s="156"/>
      <c r="J678" s="157"/>
      <c r="K678" s="158"/>
      <c r="L678" s="159"/>
      <c r="M678" s="16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</row>
    <row r="679">
      <c r="A679" s="100"/>
      <c r="B679" s="154"/>
      <c r="C679" s="100"/>
      <c r="D679" s="100"/>
      <c r="E679" s="100"/>
      <c r="F679" s="100"/>
      <c r="G679" s="100"/>
      <c r="H679" s="155"/>
      <c r="I679" s="156"/>
      <c r="J679" s="157"/>
      <c r="K679" s="158"/>
      <c r="L679" s="159"/>
      <c r="M679" s="16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</row>
    <row r="680">
      <c r="A680" s="100"/>
      <c r="B680" s="154"/>
      <c r="C680" s="100"/>
      <c r="D680" s="100"/>
      <c r="E680" s="100"/>
      <c r="F680" s="100"/>
      <c r="G680" s="100"/>
      <c r="H680" s="155"/>
      <c r="I680" s="156"/>
      <c r="J680" s="157"/>
      <c r="K680" s="158"/>
      <c r="L680" s="159"/>
      <c r="M680" s="16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</row>
    <row r="681">
      <c r="A681" s="100"/>
      <c r="B681" s="154"/>
      <c r="C681" s="100"/>
      <c r="D681" s="100"/>
      <c r="E681" s="100"/>
      <c r="F681" s="100"/>
      <c r="G681" s="100"/>
      <c r="H681" s="155"/>
      <c r="I681" s="156"/>
      <c r="J681" s="157"/>
      <c r="K681" s="158"/>
      <c r="L681" s="159"/>
      <c r="M681" s="16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</row>
    <row r="682">
      <c r="A682" s="100"/>
      <c r="B682" s="154"/>
      <c r="C682" s="100"/>
      <c r="D682" s="100"/>
      <c r="E682" s="100"/>
      <c r="F682" s="100"/>
      <c r="G682" s="100"/>
      <c r="H682" s="155"/>
      <c r="I682" s="156"/>
      <c r="J682" s="157"/>
      <c r="K682" s="158"/>
      <c r="L682" s="159"/>
      <c r="M682" s="16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</row>
    <row r="683">
      <c r="A683" s="100"/>
      <c r="B683" s="154"/>
      <c r="C683" s="100"/>
      <c r="D683" s="100"/>
      <c r="E683" s="100"/>
      <c r="F683" s="100"/>
      <c r="G683" s="100"/>
      <c r="H683" s="155"/>
      <c r="I683" s="156"/>
      <c r="J683" s="157"/>
      <c r="K683" s="158"/>
      <c r="L683" s="159"/>
      <c r="M683" s="16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</row>
    <row r="684">
      <c r="A684" s="100"/>
      <c r="B684" s="154"/>
      <c r="C684" s="100"/>
      <c r="D684" s="100"/>
      <c r="E684" s="100"/>
      <c r="F684" s="100"/>
      <c r="G684" s="100"/>
      <c r="H684" s="155"/>
      <c r="I684" s="156"/>
      <c r="J684" s="157"/>
      <c r="K684" s="158"/>
      <c r="L684" s="159"/>
      <c r="M684" s="16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</row>
    <row r="685">
      <c r="A685" s="100"/>
      <c r="B685" s="154"/>
      <c r="C685" s="100"/>
      <c r="D685" s="100"/>
      <c r="E685" s="100"/>
      <c r="F685" s="100"/>
      <c r="G685" s="100"/>
      <c r="H685" s="155"/>
      <c r="I685" s="156"/>
      <c r="J685" s="157"/>
      <c r="K685" s="158"/>
      <c r="L685" s="159"/>
      <c r="M685" s="16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</row>
    <row r="686">
      <c r="A686" s="100"/>
      <c r="B686" s="154"/>
      <c r="C686" s="100"/>
      <c r="D686" s="100"/>
      <c r="E686" s="100"/>
      <c r="F686" s="100"/>
      <c r="G686" s="100"/>
      <c r="H686" s="155"/>
      <c r="I686" s="156"/>
      <c r="J686" s="157"/>
      <c r="K686" s="158"/>
      <c r="L686" s="159"/>
      <c r="M686" s="16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</row>
    <row r="687">
      <c r="A687" s="100"/>
      <c r="B687" s="154"/>
      <c r="C687" s="100"/>
      <c r="D687" s="100"/>
      <c r="E687" s="100"/>
      <c r="F687" s="100"/>
      <c r="G687" s="100"/>
      <c r="H687" s="155"/>
      <c r="I687" s="156"/>
      <c r="J687" s="157"/>
      <c r="K687" s="158"/>
      <c r="L687" s="159"/>
      <c r="M687" s="16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</row>
    <row r="688">
      <c r="A688" s="100"/>
      <c r="B688" s="154"/>
      <c r="C688" s="100"/>
      <c r="D688" s="100"/>
      <c r="E688" s="100"/>
      <c r="F688" s="100"/>
      <c r="G688" s="100"/>
      <c r="H688" s="155"/>
      <c r="I688" s="156"/>
      <c r="J688" s="157"/>
      <c r="K688" s="158"/>
      <c r="L688" s="159"/>
      <c r="M688" s="16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</row>
    <row r="689">
      <c r="A689" s="100"/>
      <c r="B689" s="154"/>
      <c r="C689" s="100"/>
      <c r="D689" s="100"/>
      <c r="E689" s="100"/>
      <c r="F689" s="100"/>
      <c r="G689" s="100"/>
      <c r="H689" s="155"/>
      <c r="I689" s="156"/>
      <c r="J689" s="157"/>
      <c r="K689" s="158"/>
      <c r="L689" s="159"/>
      <c r="M689" s="16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</row>
    <row r="690">
      <c r="A690" s="100"/>
      <c r="B690" s="154"/>
      <c r="C690" s="100"/>
      <c r="D690" s="100"/>
      <c r="E690" s="100"/>
      <c r="F690" s="100"/>
      <c r="G690" s="100"/>
      <c r="H690" s="155"/>
      <c r="I690" s="156"/>
      <c r="J690" s="157"/>
      <c r="K690" s="158"/>
      <c r="L690" s="159"/>
      <c r="M690" s="16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</row>
    <row r="691">
      <c r="A691" s="100"/>
      <c r="B691" s="154"/>
      <c r="C691" s="100"/>
      <c r="D691" s="100"/>
      <c r="E691" s="100"/>
      <c r="F691" s="100"/>
      <c r="G691" s="100"/>
      <c r="H691" s="155"/>
      <c r="I691" s="156"/>
      <c r="J691" s="157"/>
      <c r="K691" s="158"/>
      <c r="L691" s="159"/>
      <c r="M691" s="16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</row>
    <row r="692">
      <c r="A692" s="100"/>
      <c r="B692" s="154"/>
      <c r="C692" s="100"/>
      <c r="D692" s="100"/>
      <c r="E692" s="100"/>
      <c r="F692" s="100"/>
      <c r="G692" s="100"/>
      <c r="H692" s="155"/>
      <c r="I692" s="156"/>
      <c r="J692" s="157"/>
      <c r="K692" s="158"/>
      <c r="L692" s="159"/>
      <c r="M692" s="16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</row>
    <row r="693">
      <c r="A693" s="100"/>
      <c r="B693" s="154"/>
      <c r="C693" s="100"/>
      <c r="D693" s="100"/>
      <c r="E693" s="100"/>
      <c r="F693" s="100"/>
      <c r="G693" s="100"/>
      <c r="H693" s="155"/>
      <c r="I693" s="156"/>
      <c r="J693" s="157"/>
      <c r="K693" s="158"/>
      <c r="L693" s="159"/>
      <c r="M693" s="16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</row>
    <row r="694">
      <c r="A694" s="100"/>
      <c r="B694" s="154"/>
      <c r="C694" s="100"/>
      <c r="D694" s="100"/>
      <c r="E694" s="100"/>
      <c r="F694" s="100"/>
      <c r="G694" s="100"/>
      <c r="H694" s="155"/>
      <c r="I694" s="156"/>
      <c r="J694" s="157"/>
      <c r="K694" s="158"/>
      <c r="L694" s="159"/>
      <c r="M694" s="16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</row>
    <row r="695">
      <c r="A695" s="100"/>
      <c r="B695" s="154"/>
      <c r="C695" s="100"/>
      <c r="D695" s="100"/>
      <c r="E695" s="100"/>
      <c r="F695" s="100"/>
      <c r="G695" s="100"/>
      <c r="H695" s="155"/>
      <c r="I695" s="156"/>
      <c r="J695" s="157"/>
      <c r="K695" s="158"/>
      <c r="L695" s="159"/>
      <c r="M695" s="16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</row>
    <row r="696">
      <c r="A696" s="100"/>
      <c r="B696" s="154"/>
      <c r="C696" s="100"/>
      <c r="D696" s="100"/>
      <c r="E696" s="100"/>
      <c r="F696" s="100"/>
      <c r="G696" s="100"/>
      <c r="H696" s="155"/>
      <c r="I696" s="156"/>
      <c r="J696" s="157"/>
      <c r="K696" s="158"/>
      <c r="L696" s="159"/>
      <c r="M696" s="16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</row>
    <row r="697">
      <c r="A697" s="100"/>
      <c r="B697" s="154"/>
      <c r="C697" s="100"/>
      <c r="D697" s="100"/>
      <c r="E697" s="100"/>
      <c r="F697" s="100"/>
      <c r="G697" s="100"/>
      <c r="H697" s="155"/>
      <c r="I697" s="156"/>
      <c r="J697" s="157"/>
      <c r="K697" s="158"/>
      <c r="L697" s="159"/>
      <c r="M697" s="16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</row>
    <row r="698">
      <c r="A698" s="100"/>
      <c r="B698" s="154"/>
      <c r="C698" s="100"/>
      <c r="D698" s="100"/>
      <c r="E698" s="100"/>
      <c r="F698" s="100"/>
      <c r="G698" s="100"/>
      <c r="H698" s="155"/>
      <c r="I698" s="156"/>
      <c r="J698" s="157"/>
      <c r="K698" s="158"/>
      <c r="L698" s="159"/>
      <c r="M698" s="16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</row>
    <row r="699">
      <c r="A699" s="100"/>
      <c r="B699" s="154"/>
      <c r="C699" s="100"/>
      <c r="D699" s="100"/>
      <c r="E699" s="100"/>
      <c r="F699" s="100"/>
      <c r="G699" s="100"/>
      <c r="H699" s="155"/>
      <c r="I699" s="156"/>
      <c r="J699" s="157"/>
      <c r="K699" s="158"/>
      <c r="L699" s="159"/>
      <c r="M699" s="16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</row>
    <row r="700">
      <c r="A700" s="100"/>
      <c r="B700" s="154"/>
      <c r="C700" s="100"/>
      <c r="D700" s="100"/>
      <c r="E700" s="100"/>
      <c r="F700" s="100"/>
      <c r="G700" s="100"/>
      <c r="H700" s="155"/>
      <c r="I700" s="156"/>
      <c r="J700" s="157"/>
      <c r="K700" s="158"/>
      <c r="L700" s="159"/>
      <c r="M700" s="16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</row>
    <row r="701">
      <c r="A701" s="100"/>
      <c r="B701" s="154"/>
      <c r="C701" s="100"/>
      <c r="D701" s="100"/>
      <c r="E701" s="100"/>
      <c r="F701" s="100"/>
      <c r="G701" s="100"/>
      <c r="H701" s="155"/>
      <c r="I701" s="156"/>
      <c r="J701" s="157"/>
      <c r="K701" s="158"/>
      <c r="L701" s="159"/>
      <c r="M701" s="16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</row>
    <row r="702">
      <c r="A702" s="100"/>
      <c r="B702" s="154"/>
      <c r="C702" s="100"/>
      <c r="D702" s="100"/>
      <c r="E702" s="100"/>
      <c r="F702" s="100"/>
      <c r="G702" s="100"/>
      <c r="H702" s="155"/>
      <c r="I702" s="156"/>
      <c r="J702" s="157"/>
      <c r="K702" s="158"/>
      <c r="L702" s="159"/>
      <c r="M702" s="16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</row>
    <row r="703">
      <c r="A703" s="100"/>
      <c r="B703" s="154"/>
      <c r="C703" s="100"/>
      <c r="D703" s="100"/>
      <c r="E703" s="100"/>
      <c r="F703" s="100"/>
      <c r="G703" s="100"/>
      <c r="H703" s="155"/>
      <c r="I703" s="156"/>
      <c r="J703" s="157"/>
      <c r="K703" s="158"/>
      <c r="L703" s="159"/>
      <c r="M703" s="16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</row>
    <row r="704">
      <c r="A704" s="100"/>
      <c r="B704" s="154"/>
      <c r="C704" s="100"/>
      <c r="D704" s="100"/>
      <c r="E704" s="100"/>
      <c r="F704" s="100"/>
      <c r="G704" s="100"/>
      <c r="H704" s="155"/>
      <c r="I704" s="156"/>
      <c r="J704" s="157"/>
      <c r="K704" s="158"/>
      <c r="L704" s="159"/>
      <c r="M704" s="16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</row>
    <row r="705">
      <c r="A705" s="100"/>
      <c r="B705" s="154"/>
      <c r="C705" s="100"/>
      <c r="D705" s="100"/>
      <c r="E705" s="100"/>
      <c r="F705" s="100"/>
      <c r="G705" s="100"/>
      <c r="H705" s="155"/>
      <c r="I705" s="156"/>
      <c r="J705" s="157"/>
      <c r="K705" s="158"/>
      <c r="L705" s="159"/>
      <c r="M705" s="16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</row>
    <row r="706">
      <c r="A706" s="100"/>
      <c r="B706" s="154"/>
      <c r="C706" s="100"/>
      <c r="D706" s="100"/>
      <c r="E706" s="100"/>
      <c r="F706" s="100"/>
      <c r="G706" s="100"/>
      <c r="H706" s="155"/>
      <c r="I706" s="156"/>
      <c r="J706" s="157"/>
      <c r="K706" s="158"/>
      <c r="L706" s="159"/>
      <c r="M706" s="16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</row>
    <row r="707">
      <c r="A707" s="100"/>
      <c r="B707" s="154"/>
      <c r="C707" s="100"/>
      <c r="D707" s="100"/>
      <c r="E707" s="100"/>
      <c r="F707" s="100"/>
      <c r="G707" s="100"/>
      <c r="H707" s="155"/>
      <c r="I707" s="156"/>
      <c r="J707" s="157"/>
      <c r="K707" s="158"/>
      <c r="L707" s="159"/>
      <c r="M707" s="16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</row>
    <row r="708">
      <c r="A708" s="100"/>
      <c r="B708" s="154"/>
      <c r="C708" s="100"/>
      <c r="D708" s="100"/>
      <c r="E708" s="100"/>
      <c r="F708" s="100"/>
      <c r="G708" s="100"/>
      <c r="H708" s="155"/>
      <c r="I708" s="156"/>
      <c r="J708" s="157"/>
      <c r="K708" s="158"/>
      <c r="L708" s="159"/>
      <c r="M708" s="16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</row>
    <row r="709">
      <c r="A709" s="100"/>
      <c r="B709" s="154"/>
      <c r="C709" s="100"/>
      <c r="D709" s="100"/>
      <c r="E709" s="100"/>
      <c r="F709" s="100"/>
      <c r="G709" s="100"/>
      <c r="H709" s="155"/>
      <c r="I709" s="156"/>
      <c r="J709" s="157"/>
      <c r="K709" s="158"/>
      <c r="L709" s="159"/>
      <c r="M709" s="16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</row>
    <row r="710">
      <c r="A710" s="100"/>
      <c r="B710" s="154"/>
      <c r="C710" s="100"/>
      <c r="D710" s="100"/>
      <c r="E710" s="100"/>
      <c r="F710" s="100"/>
      <c r="G710" s="100"/>
      <c r="H710" s="155"/>
      <c r="I710" s="156"/>
      <c r="J710" s="157"/>
      <c r="K710" s="158"/>
      <c r="L710" s="159"/>
      <c r="M710" s="16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</row>
    <row r="711">
      <c r="A711" s="100"/>
      <c r="B711" s="154"/>
      <c r="C711" s="100"/>
      <c r="D711" s="100"/>
      <c r="E711" s="100"/>
      <c r="F711" s="100"/>
      <c r="G711" s="100"/>
      <c r="H711" s="155"/>
      <c r="I711" s="156"/>
      <c r="J711" s="157"/>
      <c r="K711" s="158"/>
      <c r="L711" s="159"/>
      <c r="M711" s="16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</row>
    <row r="712">
      <c r="A712" s="100"/>
      <c r="B712" s="154"/>
      <c r="C712" s="100"/>
      <c r="D712" s="100"/>
      <c r="E712" s="100"/>
      <c r="F712" s="100"/>
      <c r="G712" s="100"/>
      <c r="H712" s="155"/>
      <c r="I712" s="156"/>
      <c r="J712" s="157"/>
      <c r="K712" s="158"/>
      <c r="L712" s="159"/>
      <c r="M712" s="16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</row>
    <row r="713">
      <c r="A713" s="100"/>
      <c r="B713" s="154"/>
      <c r="C713" s="100"/>
      <c r="D713" s="100"/>
      <c r="E713" s="100"/>
      <c r="F713" s="100"/>
      <c r="G713" s="100"/>
      <c r="H713" s="155"/>
      <c r="I713" s="156"/>
      <c r="J713" s="157"/>
      <c r="K713" s="158"/>
      <c r="L713" s="159"/>
      <c r="M713" s="16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</row>
    <row r="714">
      <c r="A714" s="100"/>
      <c r="B714" s="154"/>
      <c r="C714" s="100"/>
      <c r="D714" s="100"/>
      <c r="E714" s="100"/>
      <c r="F714" s="100"/>
      <c r="G714" s="100"/>
      <c r="H714" s="155"/>
      <c r="I714" s="156"/>
      <c r="J714" s="157"/>
      <c r="K714" s="158"/>
      <c r="L714" s="159"/>
      <c r="M714" s="16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</row>
    <row r="715">
      <c r="A715" s="100"/>
      <c r="B715" s="154"/>
      <c r="C715" s="100"/>
      <c r="D715" s="100"/>
      <c r="E715" s="100"/>
      <c r="F715" s="100"/>
      <c r="G715" s="100"/>
      <c r="H715" s="155"/>
      <c r="I715" s="156"/>
      <c r="J715" s="157"/>
      <c r="K715" s="158"/>
      <c r="L715" s="159"/>
      <c r="M715" s="16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</row>
    <row r="716">
      <c r="A716" s="100"/>
      <c r="B716" s="154"/>
      <c r="C716" s="100"/>
      <c r="D716" s="100"/>
      <c r="E716" s="100"/>
      <c r="F716" s="100"/>
      <c r="G716" s="100"/>
      <c r="H716" s="155"/>
      <c r="I716" s="156"/>
      <c r="J716" s="157"/>
      <c r="K716" s="158"/>
      <c r="L716" s="159"/>
      <c r="M716" s="16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</row>
    <row r="717">
      <c r="A717" s="100"/>
      <c r="B717" s="154"/>
      <c r="C717" s="100"/>
      <c r="D717" s="100"/>
      <c r="E717" s="100"/>
      <c r="F717" s="100"/>
      <c r="G717" s="100"/>
      <c r="H717" s="155"/>
      <c r="I717" s="156"/>
      <c r="J717" s="157"/>
      <c r="K717" s="158"/>
      <c r="L717" s="159"/>
      <c r="M717" s="16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</row>
    <row r="718">
      <c r="A718" s="100"/>
      <c r="B718" s="154"/>
      <c r="C718" s="100"/>
      <c r="D718" s="100"/>
      <c r="E718" s="100"/>
      <c r="F718" s="100"/>
      <c r="G718" s="100"/>
      <c r="H718" s="155"/>
      <c r="I718" s="156"/>
      <c r="J718" s="157"/>
      <c r="K718" s="158"/>
      <c r="L718" s="159"/>
      <c r="M718" s="16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</row>
    <row r="719">
      <c r="A719" s="100"/>
      <c r="B719" s="154"/>
      <c r="C719" s="100"/>
      <c r="D719" s="100"/>
      <c r="E719" s="100"/>
      <c r="F719" s="100"/>
      <c r="G719" s="100"/>
      <c r="H719" s="155"/>
      <c r="I719" s="156"/>
      <c r="J719" s="157"/>
      <c r="K719" s="158"/>
      <c r="L719" s="159"/>
      <c r="M719" s="16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</row>
    <row r="720">
      <c r="A720" s="100"/>
      <c r="B720" s="154"/>
      <c r="C720" s="100"/>
      <c r="D720" s="100"/>
      <c r="E720" s="100"/>
      <c r="F720" s="100"/>
      <c r="G720" s="100"/>
      <c r="H720" s="155"/>
      <c r="I720" s="156"/>
      <c r="J720" s="157"/>
      <c r="K720" s="158"/>
      <c r="L720" s="159"/>
      <c r="M720" s="16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</row>
    <row r="721">
      <c r="A721" s="100"/>
      <c r="B721" s="154"/>
      <c r="C721" s="100"/>
      <c r="D721" s="100"/>
      <c r="E721" s="100"/>
      <c r="F721" s="100"/>
      <c r="G721" s="100"/>
      <c r="H721" s="155"/>
      <c r="I721" s="156"/>
      <c r="J721" s="157"/>
      <c r="K721" s="158"/>
      <c r="L721" s="159"/>
      <c r="M721" s="16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</row>
    <row r="722">
      <c r="A722" s="100"/>
      <c r="B722" s="154"/>
      <c r="C722" s="100"/>
      <c r="D722" s="100"/>
      <c r="E722" s="100"/>
      <c r="F722" s="100"/>
      <c r="G722" s="100"/>
      <c r="H722" s="155"/>
      <c r="I722" s="156"/>
      <c r="J722" s="157"/>
      <c r="K722" s="158"/>
      <c r="L722" s="159"/>
      <c r="M722" s="16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</row>
    <row r="723">
      <c r="A723" s="100"/>
      <c r="B723" s="154"/>
      <c r="C723" s="100"/>
      <c r="D723" s="100"/>
      <c r="E723" s="100"/>
      <c r="F723" s="100"/>
      <c r="G723" s="100"/>
      <c r="H723" s="155"/>
      <c r="I723" s="156"/>
      <c r="J723" s="157"/>
      <c r="K723" s="158"/>
      <c r="L723" s="159"/>
      <c r="M723" s="16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</row>
    <row r="724">
      <c r="A724" s="100"/>
      <c r="B724" s="154"/>
      <c r="C724" s="100"/>
      <c r="D724" s="100"/>
      <c r="E724" s="100"/>
      <c r="F724" s="100"/>
      <c r="G724" s="100"/>
      <c r="H724" s="155"/>
      <c r="I724" s="156"/>
      <c r="J724" s="157"/>
      <c r="K724" s="158"/>
      <c r="L724" s="159"/>
      <c r="M724" s="16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</row>
    <row r="725">
      <c r="A725" s="100"/>
      <c r="B725" s="154"/>
      <c r="C725" s="100"/>
      <c r="D725" s="100"/>
      <c r="E725" s="100"/>
      <c r="F725" s="100"/>
      <c r="G725" s="100"/>
      <c r="H725" s="155"/>
      <c r="I725" s="156"/>
      <c r="J725" s="157"/>
      <c r="K725" s="158"/>
      <c r="L725" s="159"/>
      <c r="M725" s="16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</row>
    <row r="726">
      <c r="A726" s="100"/>
      <c r="B726" s="154"/>
      <c r="C726" s="100"/>
      <c r="D726" s="100"/>
      <c r="E726" s="100"/>
      <c r="F726" s="100"/>
      <c r="G726" s="100"/>
      <c r="H726" s="155"/>
      <c r="I726" s="156"/>
      <c r="J726" s="157"/>
      <c r="K726" s="158"/>
      <c r="L726" s="159"/>
      <c r="M726" s="16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</row>
    <row r="727">
      <c r="A727" s="100"/>
      <c r="B727" s="154"/>
      <c r="C727" s="100"/>
      <c r="D727" s="100"/>
      <c r="E727" s="100"/>
      <c r="F727" s="100"/>
      <c r="G727" s="100"/>
      <c r="H727" s="155"/>
      <c r="I727" s="156"/>
      <c r="J727" s="157"/>
      <c r="K727" s="158"/>
      <c r="L727" s="159"/>
      <c r="M727" s="16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</row>
    <row r="728">
      <c r="A728" s="100"/>
      <c r="B728" s="154"/>
      <c r="C728" s="100"/>
      <c r="D728" s="100"/>
      <c r="E728" s="100"/>
      <c r="F728" s="100"/>
      <c r="G728" s="100"/>
      <c r="H728" s="155"/>
      <c r="I728" s="156"/>
      <c r="J728" s="157"/>
      <c r="K728" s="158"/>
      <c r="L728" s="159"/>
      <c r="M728" s="16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</row>
    <row r="729">
      <c r="A729" s="100"/>
      <c r="B729" s="154"/>
      <c r="C729" s="100"/>
      <c r="D729" s="100"/>
      <c r="E729" s="100"/>
      <c r="F729" s="100"/>
      <c r="G729" s="100"/>
      <c r="H729" s="155"/>
      <c r="I729" s="156"/>
      <c r="J729" s="157"/>
      <c r="K729" s="158"/>
      <c r="L729" s="159"/>
      <c r="M729" s="16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</row>
    <row r="730">
      <c r="A730" s="100"/>
      <c r="B730" s="154"/>
      <c r="C730" s="100"/>
      <c r="D730" s="100"/>
      <c r="E730" s="100"/>
      <c r="F730" s="100"/>
      <c r="G730" s="100"/>
      <c r="H730" s="155"/>
      <c r="I730" s="156"/>
      <c r="J730" s="157"/>
      <c r="K730" s="158"/>
      <c r="L730" s="159"/>
      <c r="M730" s="16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</row>
    <row r="731">
      <c r="A731" s="100"/>
      <c r="B731" s="154"/>
      <c r="C731" s="100"/>
      <c r="D731" s="100"/>
      <c r="E731" s="100"/>
      <c r="F731" s="100"/>
      <c r="G731" s="100"/>
      <c r="H731" s="155"/>
      <c r="I731" s="156"/>
      <c r="J731" s="157"/>
      <c r="K731" s="158"/>
      <c r="L731" s="159"/>
      <c r="M731" s="16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</row>
    <row r="732">
      <c r="A732" s="100"/>
      <c r="B732" s="154"/>
      <c r="C732" s="100"/>
      <c r="D732" s="100"/>
      <c r="E732" s="100"/>
      <c r="F732" s="100"/>
      <c r="G732" s="100"/>
      <c r="H732" s="155"/>
      <c r="I732" s="156"/>
      <c r="J732" s="157"/>
      <c r="K732" s="158"/>
      <c r="L732" s="159"/>
      <c r="M732" s="16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</row>
    <row r="733">
      <c r="A733" s="100"/>
      <c r="B733" s="154"/>
      <c r="C733" s="100"/>
      <c r="D733" s="100"/>
      <c r="E733" s="100"/>
      <c r="F733" s="100"/>
      <c r="G733" s="100"/>
      <c r="H733" s="155"/>
      <c r="I733" s="156"/>
      <c r="J733" s="157"/>
      <c r="K733" s="158"/>
      <c r="L733" s="159"/>
      <c r="M733" s="16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</row>
    <row r="734">
      <c r="A734" s="100"/>
      <c r="B734" s="154"/>
      <c r="C734" s="100"/>
      <c r="D734" s="100"/>
      <c r="E734" s="100"/>
      <c r="F734" s="100"/>
      <c r="G734" s="100"/>
      <c r="H734" s="155"/>
      <c r="I734" s="156"/>
      <c r="J734" s="157"/>
      <c r="K734" s="158"/>
      <c r="L734" s="159"/>
      <c r="M734" s="16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</row>
    <row r="735">
      <c r="A735" s="100"/>
      <c r="B735" s="154"/>
      <c r="C735" s="100"/>
      <c r="D735" s="100"/>
      <c r="E735" s="100"/>
      <c r="F735" s="100"/>
      <c r="G735" s="100"/>
      <c r="H735" s="155"/>
      <c r="I735" s="156"/>
      <c r="J735" s="157"/>
      <c r="K735" s="158"/>
      <c r="L735" s="159"/>
      <c r="M735" s="16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</row>
    <row r="736">
      <c r="A736" s="100"/>
      <c r="B736" s="154"/>
      <c r="C736" s="100"/>
      <c r="D736" s="100"/>
      <c r="E736" s="100"/>
      <c r="F736" s="100"/>
      <c r="G736" s="100"/>
      <c r="H736" s="155"/>
      <c r="I736" s="156"/>
      <c r="J736" s="157"/>
      <c r="K736" s="158"/>
      <c r="L736" s="159"/>
      <c r="M736" s="16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</row>
    <row r="737">
      <c r="A737" s="100"/>
      <c r="B737" s="154"/>
      <c r="C737" s="100"/>
      <c r="D737" s="100"/>
      <c r="E737" s="100"/>
      <c r="F737" s="100"/>
      <c r="G737" s="100"/>
      <c r="H737" s="155"/>
      <c r="I737" s="156"/>
      <c r="J737" s="157"/>
      <c r="K737" s="158"/>
      <c r="L737" s="159"/>
      <c r="M737" s="16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</row>
    <row r="738">
      <c r="A738" s="100"/>
      <c r="B738" s="154"/>
      <c r="C738" s="100"/>
      <c r="D738" s="100"/>
      <c r="E738" s="100"/>
      <c r="F738" s="100"/>
      <c r="G738" s="100"/>
      <c r="H738" s="155"/>
      <c r="I738" s="156"/>
      <c r="J738" s="157"/>
      <c r="K738" s="158"/>
      <c r="L738" s="159"/>
      <c r="M738" s="16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</row>
    <row r="739">
      <c r="A739" s="100"/>
      <c r="B739" s="154"/>
      <c r="C739" s="100"/>
      <c r="D739" s="100"/>
      <c r="E739" s="100"/>
      <c r="F739" s="100"/>
      <c r="G739" s="100"/>
      <c r="H739" s="155"/>
      <c r="I739" s="156"/>
      <c r="J739" s="157"/>
      <c r="K739" s="158"/>
      <c r="L739" s="159"/>
      <c r="M739" s="16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</row>
    <row r="740">
      <c r="A740" s="100"/>
      <c r="B740" s="154"/>
      <c r="C740" s="100"/>
      <c r="D740" s="100"/>
      <c r="E740" s="100"/>
      <c r="F740" s="100"/>
      <c r="G740" s="100"/>
      <c r="H740" s="155"/>
      <c r="I740" s="156"/>
      <c r="J740" s="157"/>
      <c r="K740" s="158"/>
      <c r="L740" s="159"/>
      <c r="M740" s="16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</row>
    <row r="741">
      <c r="A741" s="100"/>
      <c r="B741" s="154"/>
      <c r="C741" s="100"/>
      <c r="D741" s="100"/>
      <c r="E741" s="100"/>
      <c r="F741" s="100"/>
      <c r="G741" s="100"/>
      <c r="H741" s="155"/>
      <c r="I741" s="156"/>
      <c r="J741" s="157"/>
      <c r="K741" s="158"/>
      <c r="L741" s="159"/>
      <c r="M741" s="16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</row>
    <row r="742">
      <c r="A742" s="100"/>
      <c r="B742" s="154"/>
      <c r="C742" s="100"/>
      <c r="D742" s="100"/>
      <c r="E742" s="100"/>
      <c r="F742" s="100"/>
      <c r="G742" s="100"/>
      <c r="H742" s="155"/>
      <c r="I742" s="156"/>
      <c r="J742" s="157"/>
      <c r="K742" s="158"/>
      <c r="L742" s="159"/>
      <c r="M742" s="16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</row>
    <row r="743">
      <c r="A743" s="100"/>
      <c r="B743" s="154"/>
      <c r="C743" s="100"/>
      <c r="D743" s="100"/>
      <c r="E743" s="100"/>
      <c r="F743" s="100"/>
      <c r="G743" s="100"/>
      <c r="H743" s="155"/>
      <c r="I743" s="156"/>
      <c r="J743" s="157"/>
      <c r="K743" s="158"/>
      <c r="L743" s="159"/>
      <c r="M743" s="16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</row>
    <row r="744">
      <c r="A744" s="100"/>
      <c r="B744" s="154"/>
      <c r="C744" s="100"/>
      <c r="D744" s="100"/>
      <c r="E744" s="100"/>
      <c r="F744" s="100"/>
      <c r="G744" s="100"/>
      <c r="H744" s="155"/>
      <c r="I744" s="156"/>
      <c r="J744" s="157"/>
      <c r="K744" s="158"/>
      <c r="L744" s="159"/>
      <c r="M744" s="16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</row>
    <row r="745">
      <c r="A745" s="100"/>
      <c r="B745" s="154"/>
      <c r="C745" s="100"/>
      <c r="D745" s="100"/>
      <c r="E745" s="100"/>
      <c r="F745" s="100"/>
      <c r="G745" s="100"/>
      <c r="H745" s="155"/>
      <c r="I745" s="156"/>
      <c r="J745" s="157"/>
      <c r="K745" s="158"/>
      <c r="L745" s="159"/>
      <c r="M745" s="16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</row>
    <row r="746">
      <c r="A746" s="100"/>
      <c r="B746" s="154"/>
      <c r="C746" s="100"/>
      <c r="D746" s="100"/>
      <c r="E746" s="100"/>
      <c r="F746" s="100"/>
      <c r="G746" s="100"/>
      <c r="H746" s="155"/>
      <c r="I746" s="156"/>
      <c r="J746" s="157"/>
      <c r="K746" s="158"/>
      <c r="L746" s="159"/>
      <c r="M746" s="16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</row>
    <row r="747">
      <c r="A747" s="100"/>
      <c r="B747" s="154"/>
      <c r="C747" s="100"/>
      <c r="D747" s="100"/>
      <c r="E747" s="100"/>
      <c r="F747" s="100"/>
      <c r="G747" s="100"/>
      <c r="H747" s="155"/>
      <c r="I747" s="156"/>
      <c r="J747" s="157"/>
      <c r="K747" s="158"/>
      <c r="L747" s="159"/>
      <c r="M747" s="16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</row>
    <row r="748">
      <c r="A748" s="100"/>
      <c r="B748" s="154"/>
      <c r="C748" s="100"/>
      <c r="D748" s="100"/>
      <c r="E748" s="100"/>
      <c r="F748" s="100"/>
      <c r="G748" s="100"/>
      <c r="H748" s="155"/>
      <c r="I748" s="156"/>
      <c r="J748" s="157"/>
      <c r="K748" s="158"/>
      <c r="L748" s="159"/>
      <c r="M748" s="16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</row>
    <row r="749">
      <c r="A749" s="100"/>
      <c r="B749" s="154"/>
      <c r="C749" s="100"/>
      <c r="D749" s="100"/>
      <c r="E749" s="100"/>
      <c r="F749" s="100"/>
      <c r="G749" s="100"/>
      <c r="H749" s="155"/>
      <c r="I749" s="156"/>
      <c r="J749" s="157"/>
      <c r="K749" s="158"/>
      <c r="L749" s="159"/>
      <c r="M749" s="16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</row>
    <row r="750">
      <c r="A750" s="100"/>
      <c r="B750" s="154"/>
      <c r="C750" s="100"/>
      <c r="D750" s="100"/>
      <c r="E750" s="100"/>
      <c r="F750" s="100"/>
      <c r="G750" s="100"/>
      <c r="H750" s="155"/>
      <c r="I750" s="156"/>
      <c r="J750" s="157"/>
      <c r="K750" s="158"/>
      <c r="L750" s="159"/>
      <c r="M750" s="16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</row>
    <row r="751">
      <c r="A751" s="100"/>
      <c r="B751" s="154"/>
      <c r="C751" s="100"/>
      <c r="D751" s="100"/>
      <c r="E751" s="100"/>
      <c r="F751" s="100"/>
      <c r="G751" s="100"/>
      <c r="H751" s="155"/>
      <c r="I751" s="156"/>
      <c r="J751" s="157"/>
      <c r="K751" s="158"/>
      <c r="L751" s="159"/>
      <c r="M751" s="16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</row>
    <row r="752">
      <c r="A752" s="100"/>
      <c r="B752" s="154"/>
      <c r="C752" s="100"/>
      <c r="D752" s="100"/>
      <c r="E752" s="100"/>
      <c r="F752" s="100"/>
      <c r="G752" s="100"/>
      <c r="H752" s="155"/>
      <c r="I752" s="156"/>
      <c r="J752" s="157"/>
      <c r="K752" s="158"/>
      <c r="L752" s="159"/>
      <c r="M752" s="16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</row>
    <row r="753">
      <c r="A753" s="100"/>
      <c r="B753" s="154"/>
      <c r="C753" s="100"/>
      <c r="D753" s="100"/>
      <c r="E753" s="100"/>
      <c r="F753" s="100"/>
      <c r="G753" s="100"/>
      <c r="H753" s="155"/>
      <c r="I753" s="156"/>
      <c r="J753" s="157"/>
      <c r="K753" s="158"/>
      <c r="L753" s="159"/>
      <c r="M753" s="16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</row>
    <row r="754">
      <c r="A754" s="100"/>
      <c r="B754" s="154"/>
      <c r="C754" s="100"/>
      <c r="D754" s="100"/>
      <c r="E754" s="100"/>
      <c r="F754" s="100"/>
      <c r="G754" s="100"/>
      <c r="H754" s="155"/>
      <c r="I754" s="156"/>
      <c r="J754" s="157"/>
      <c r="K754" s="158"/>
      <c r="L754" s="159"/>
      <c r="M754" s="16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</row>
    <row r="755">
      <c r="A755" s="100"/>
      <c r="B755" s="154"/>
      <c r="C755" s="100"/>
      <c r="D755" s="100"/>
      <c r="E755" s="100"/>
      <c r="F755" s="100"/>
      <c r="G755" s="100"/>
      <c r="H755" s="155"/>
      <c r="I755" s="156"/>
      <c r="J755" s="157"/>
      <c r="K755" s="158"/>
      <c r="L755" s="159"/>
      <c r="M755" s="16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</row>
    <row r="756">
      <c r="A756" s="100"/>
      <c r="B756" s="154"/>
      <c r="C756" s="100"/>
      <c r="D756" s="100"/>
      <c r="E756" s="100"/>
      <c r="F756" s="100"/>
      <c r="G756" s="100"/>
      <c r="H756" s="155"/>
      <c r="I756" s="156"/>
      <c r="J756" s="157"/>
      <c r="K756" s="158"/>
      <c r="L756" s="159"/>
      <c r="M756" s="16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</row>
    <row r="757">
      <c r="A757" s="100"/>
      <c r="B757" s="154"/>
      <c r="C757" s="100"/>
      <c r="D757" s="100"/>
      <c r="E757" s="100"/>
      <c r="F757" s="100"/>
      <c r="G757" s="100"/>
      <c r="H757" s="155"/>
      <c r="I757" s="156"/>
      <c r="J757" s="157"/>
      <c r="K757" s="158"/>
      <c r="L757" s="159"/>
      <c r="M757" s="16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</row>
    <row r="758">
      <c r="A758" s="100"/>
      <c r="B758" s="154"/>
      <c r="C758" s="100"/>
      <c r="D758" s="100"/>
      <c r="E758" s="100"/>
      <c r="F758" s="100"/>
      <c r="G758" s="100"/>
      <c r="H758" s="155"/>
      <c r="I758" s="156"/>
      <c r="J758" s="157"/>
      <c r="K758" s="158"/>
      <c r="L758" s="159"/>
      <c r="M758" s="16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</row>
    <row r="759">
      <c r="A759" s="100"/>
      <c r="B759" s="154"/>
      <c r="C759" s="100"/>
      <c r="D759" s="100"/>
      <c r="E759" s="100"/>
      <c r="F759" s="100"/>
      <c r="G759" s="100"/>
      <c r="H759" s="155"/>
      <c r="I759" s="156"/>
      <c r="J759" s="157"/>
      <c r="K759" s="158"/>
      <c r="L759" s="159"/>
      <c r="M759" s="16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</row>
    <row r="760">
      <c r="A760" s="100"/>
      <c r="B760" s="154"/>
      <c r="C760" s="100"/>
      <c r="D760" s="100"/>
      <c r="E760" s="100"/>
      <c r="F760" s="100"/>
      <c r="G760" s="100"/>
      <c r="H760" s="155"/>
      <c r="I760" s="156"/>
      <c r="J760" s="157"/>
      <c r="K760" s="158"/>
      <c r="L760" s="159"/>
      <c r="M760" s="16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</row>
    <row r="761">
      <c r="A761" s="100"/>
      <c r="B761" s="154"/>
      <c r="C761" s="100"/>
      <c r="D761" s="100"/>
      <c r="E761" s="100"/>
      <c r="F761" s="100"/>
      <c r="G761" s="100"/>
      <c r="H761" s="155"/>
      <c r="I761" s="156"/>
      <c r="J761" s="157"/>
      <c r="K761" s="158"/>
      <c r="L761" s="159"/>
      <c r="M761" s="16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</row>
    <row r="762">
      <c r="A762" s="100"/>
      <c r="B762" s="154"/>
      <c r="C762" s="100"/>
      <c r="D762" s="100"/>
      <c r="E762" s="100"/>
      <c r="F762" s="100"/>
      <c r="G762" s="100"/>
      <c r="H762" s="155"/>
      <c r="I762" s="156"/>
      <c r="J762" s="157"/>
      <c r="K762" s="158"/>
      <c r="L762" s="159"/>
      <c r="M762" s="16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</row>
    <row r="763">
      <c r="A763" s="100"/>
      <c r="B763" s="154"/>
      <c r="C763" s="100"/>
      <c r="D763" s="100"/>
      <c r="E763" s="100"/>
      <c r="F763" s="100"/>
      <c r="G763" s="100"/>
      <c r="H763" s="155"/>
      <c r="I763" s="156"/>
      <c r="J763" s="157"/>
      <c r="K763" s="158"/>
      <c r="L763" s="159"/>
      <c r="M763" s="16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</row>
    <row r="764">
      <c r="A764" s="100"/>
      <c r="B764" s="154"/>
      <c r="C764" s="100"/>
      <c r="D764" s="100"/>
      <c r="E764" s="100"/>
      <c r="F764" s="100"/>
      <c r="G764" s="100"/>
      <c r="H764" s="155"/>
      <c r="I764" s="156"/>
      <c r="J764" s="157"/>
      <c r="K764" s="158"/>
      <c r="L764" s="159"/>
      <c r="M764" s="16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</row>
    <row r="765">
      <c r="A765" s="100"/>
      <c r="B765" s="154"/>
      <c r="C765" s="100"/>
      <c r="D765" s="100"/>
      <c r="E765" s="100"/>
      <c r="F765" s="100"/>
      <c r="G765" s="100"/>
      <c r="H765" s="155"/>
      <c r="I765" s="156"/>
      <c r="J765" s="157"/>
      <c r="K765" s="158"/>
      <c r="L765" s="159"/>
      <c r="M765" s="16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</row>
    <row r="766">
      <c r="A766" s="100"/>
      <c r="B766" s="154"/>
      <c r="C766" s="100"/>
      <c r="D766" s="100"/>
      <c r="E766" s="100"/>
      <c r="F766" s="100"/>
      <c r="G766" s="100"/>
      <c r="H766" s="155"/>
      <c r="I766" s="156"/>
      <c r="J766" s="157"/>
      <c r="K766" s="158"/>
      <c r="L766" s="159"/>
      <c r="M766" s="16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</row>
    <row r="767">
      <c r="A767" s="100"/>
      <c r="B767" s="154"/>
      <c r="C767" s="100"/>
      <c r="D767" s="100"/>
      <c r="E767" s="100"/>
      <c r="F767" s="100"/>
      <c r="G767" s="100"/>
      <c r="H767" s="155"/>
      <c r="I767" s="156"/>
      <c r="J767" s="157"/>
      <c r="K767" s="158"/>
      <c r="L767" s="159"/>
      <c r="M767" s="16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</row>
    <row r="768">
      <c r="A768" s="100"/>
      <c r="B768" s="154"/>
      <c r="C768" s="100"/>
      <c r="D768" s="100"/>
      <c r="E768" s="100"/>
      <c r="F768" s="100"/>
      <c r="G768" s="100"/>
      <c r="H768" s="155"/>
      <c r="I768" s="156"/>
      <c r="J768" s="157"/>
      <c r="K768" s="158"/>
      <c r="L768" s="159"/>
      <c r="M768" s="16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</row>
    <row r="769">
      <c r="A769" s="100"/>
      <c r="B769" s="154"/>
      <c r="C769" s="100"/>
      <c r="D769" s="100"/>
      <c r="E769" s="100"/>
      <c r="F769" s="100"/>
      <c r="G769" s="100"/>
      <c r="H769" s="155"/>
      <c r="I769" s="156"/>
      <c r="J769" s="157"/>
      <c r="K769" s="158"/>
      <c r="L769" s="159"/>
      <c r="M769" s="16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</row>
    <row r="770">
      <c r="A770" s="100"/>
      <c r="B770" s="154"/>
      <c r="C770" s="100"/>
      <c r="D770" s="100"/>
      <c r="E770" s="100"/>
      <c r="F770" s="100"/>
      <c r="G770" s="100"/>
      <c r="H770" s="155"/>
      <c r="I770" s="156"/>
      <c r="J770" s="157"/>
      <c r="K770" s="158"/>
      <c r="L770" s="159"/>
      <c r="M770" s="16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</row>
    <row r="771">
      <c r="A771" s="100"/>
      <c r="B771" s="154"/>
      <c r="C771" s="100"/>
      <c r="D771" s="100"/>
      <c r="E771" s="100"/>
      <c r="F771" s="100"/>
      <c r="G771" s="100"/>
      <c r="H771" s="155"/>
      <c r="I771" s="156"/>
      <c r="J771" s="157"/>
      <c r="K771" s="158"/>
      <c r="L771" s="159"/>
      <c r="M771" s="16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</row>
    <row r="772">
      <c r="A772" s="100"/>
      <c r="B772" s="154"/>
      <c r="C772" s="100"/>
      <c r="D772" s="100"/>
      <c r="E772" s="100"/>
      <c r="F772" s="100"/>
      <c r="G772" s="100"/>
      <c r="H772" s="155"/>
      <c r="I772" s="156"/>
      <c r="J772" s="157"/>
      <c r="K772" s="158"/>
      <c r="L772" s="159"/>
      <c r="M772" s="16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</row>
    <row r="773">
      <c r="A773" s="100"/>
      <c r="B773" s="154"/>
      <c r="C773" s="100"/>
      <c r="D773" s="100"/>
      <c r="E773" s="100"/>
      <c r="F773" s="100"/>
      <c r="G773" s="100"/>
      <c r="H773" s="155"/>
      <c r="I773" s="156"/>
      <c r="J773" s="157"/>
      <c r="K773" s="158"/>
      <c r="L773" s="159"/>
      <c r="M773" s="16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</row>
    <row r="774">
      <c r="A774" s="100"/>
      <c r="B774" s="154"/>
      <c r="C774" s="100"/>
      <c r="D774" s="100"/>
      <c r="E774" s="100"/>
      <c r="F774" s="100"/>
      <c r="G774" s="100"/>
      <c r="H774" s="155"/>
      <c r="I774" s="156"/>
      <c r="J774" s="157"/>
      <c r="K774" s="158"/>
      <c r="L774" s="159"/>
      <c r="M774" s="16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</row>
    <row r="775">
      <c r="A775" s="100"/>
      <c r="B775" s="154"/>
      <c r="C775" s="100"/>
      <c r="D775" s="100"/>
      <c r="E775" s="100"/>
      <c r="F775" s="100"/>
      <c r="G775" s="100"/>
      <c r="H775" s="155"/>
      <c r="I775" s="156"/>
      <c r="J775" s="157"/>
      <c r="K775" s="158"/>
      <c r="L775" s="159"/>
      <c r="M775" s="16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</row>
    <row r="776">
      <c r="A776" s="100"/>
      <c r="B776" s="154"/>
      <c r="C776" s="100"/>
      <c r="D776" s="100"/>
      <c r="E776" s="100"/>
      <c r="F776" s="100"/>
      <c r="G776" s="100"/>
      <c r="H776" s="155"/>
      <c r="I776" s="156"/>
      <c r="J776" s="157"/>
      <c r="K776" s="158"/>
      <c r="L776" s="159"/>
      <c r="M776" s="16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</row>
    <row r="777">
      <c r="A777" s="100"/>
      <c r="B777" s="154"/>
      <c r="C777" s="100"/>
      <c r="D777" s="100"/>
      <c r="E777" s="100"/>
      <c r="F777" s="100"/>
      <c r="G777" s="100"/>
      <c r="H777" s="155"/>
      <c r="I777" s="156"/>
      <c r="J777" s="157"/>
      <c r="K777" s="158"/>
      <c r="L777" s="159"/>
      <c r="M777" s="16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</row>
    <row r="778">
      <c r="A778" s="100"/>
      <c r="B778" s="154"/>
      <c r="C778" s="100"/>
      <c r="D778" s="100"/>
      <c r="E778" s="100"/>
      <c r="F778" s="100"/>
      <c r="G778" s="100"/>
      <c r="H778" s="155"/>
      <c r="I778" s="156"/>
      <c r="J778" s="157"/>
      <c r="K778" s="158"/>
      <c r="L778" s="159"/>
      <c r="M778" s="16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</row>
    <row r="779">
      <c r="A779" s="100"/>
      <c r="B779" s="154"/>
      <c r="C779" s="100"/>
      <c r="D779" s="100"/>
      <c r="E779" s="100"/>
      <c r="F779" s="100"/>
      <c r="G779" s="100"/>
      <c r="H779" s="155"/>
      <c r="I779" s="156"/>
      <c r="J779" s="157"/>
      <c r="K779" s="158"/>
      <c r="L779" s="159"/>
      <c r="M779" s="16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</row>
    <row r="780">
      <c r="A780" s="100"/>
      <c r="B780" s="154"/>
      <c r="C780" s="100"/>
      <c r="D780" s="100"/>
      <c r="E780" s="100"/>
      <c r="F780" s="100"/>
      <c r="G780" s="100"/>
      <c r="H780" s="155"/>
      <c r="I780" s="156"/>
      <c r="J780" s="157"/>
      <c r="K780" s="158"/>
      <c r="L780" s="159"/>
      <c r="M780" s="16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</row>
    <row r="781">
      <c r="A781" s="100"/>
      <c r="B781" s="154"/>
      <c r="C781" s="100"/>
      <c r="D781" s="100"/>
      <c r="E781" s="100"/>
      <c r="F781" s="100"/>
      <c r="G781" s="100"/>
      <c r="H781" s="155"/>
      <c r="I781" s="156"/>
      <c r="J781" s="157"/>
      <c r="K781" s="158"/>
      <c r="L781" s="159"/>
      <c r="M781" s="16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</row>
    <row r="782">
      <c r="A782" s="100"/>
      <c r="B782" s="154"/>
      <c r="C782" s="100"/>
      <c r="D782" s="100"/>
      <c r="E782" s="100"/>
      <c r="F782" s="100"/>
      <c r="G782" s="100"/>
      <c r="H782" s="155"/>
      <c r="I782" s="156"/>
      <c r="J782" s="157"/>
      <c r="K782" s="158"/>
      <c r="L782" s="159"/>
      <c r="M782" s="16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</row>
    <row r="783">
      <c r="A783" s="100"/>
      <c r="B783" s="154"/>
      <c r="C783" s="100"/>
      <c r="D783" s="100"/>
      <c r="E783" s="100"/>
      <c r="F783" s="100"/>
      <c r="G783" s="100"/>
      <c r="H783" s="155"/>
      <c r="I783" s="156"/>
      <c r="J783" s="157"/>
      <c r="K783" s="158"/>
      <c r="L783" s="159"/>
      <c r="M783" s="16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</row>
    <row r="784">
      <c r="A784" s="100"/>
      <c r="B784" s="154"/>
      <c r="C784" s="100"/>
      <c r="D784" s="100"/>
      <c r="E784" s="100"/>
      <c r="F784" s="100"/>
      <c r="G784" s="100"/>
      <c r="H784" s="155"/>
      <c r="I784" s="156"/>
      <c r="J784" s="157"/>
      <c r="K784" s="158"/>
      <c r="L784" s="159"/>
      <c r="M784" s="16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</row>
    <row r="785">
      <c r="A785" s="100"/>
      <c r="B785" s="154"/>
      <c r="C785" s="100"/>
      <c r="D785" s="100"/>
      <c r="E785" s="100"/>
      <c r="F785" s="100"/>
      <c r="G785" s="100"/>
      <c r="H785" s="155"/>
      <c r="I785" s="156"/>
      <c r="J785" s="157"/>
      <c r="K785" s="158"/>
      <c r="L785" s="159"/>
      <c r="M785" s="16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</row>
    <row r="786">
      <c r="A786" s="100"/>
      <c r="B786" s="154"/>
      <c r="C786" s="100"/>
      <c r="D786" s="100"/>
      <c r="E786" s="100"/>
      <c r="F786" s="100"/>
      <c r="G786" s="100"/>
      <c r="H786" s="155"/>
      <c r="I786" s="156"/>
      <c r="J786" s="157"/>
      <c r="K786" s="158"/>
      <c r="L786" s="159"/>
      <c r="M786" s="16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</row>
    <row r="787">
      <c r="A787" s="100"/>
      <c r="B787" s="154"/>
      <c r="C787" s="100"/>
      <c r="D787" s="100"/>
      <c r="E787" s="100"/>
      <c r="F787" s="100"/>
      <c r="G787" s="100"/>
      <c r="H787" s="155"/>
      <c r="I787" s="156"/>
      <c r="J787" s="157"/>
      <c r="K787" s="158"/>
      <c r="L787" s="159"/>
      <c r="M787" s="16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</row>
    <row r="788">
      <c r="A788" s="100"/>
      <c r="B788" s="154"/>
      <c r="C788" s="100"/>
      <c r="D788" s="100"/>
      <c r="E788" s="100"/>
      <c r="F788" s="100"/>
      <c r="G788" s="100"/>
      <c r="H788" s="155"/>
      <c r="I788" s="156"/>
      <c r="J788" s="157"/>
      <c r="K788" s="158"/>
      <c r="L788" s="159"/>
      <c r="M788" s="16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</row>
    <row r="789">
      <c r="A789" s="100"/>
      <c r="B789" s="154"/>
      <c r="C789" s="100"/>
      <c r="D789" s="100"/>
      <c r="E789" s="100"/>
      <c r="F789" s="100"/>
      <c r="G789" s="100"/>
      <c r="H789" s="155"/>
      <c r="I789" s="156"/>
      <c r="J789" s="157"/>
      <c r="K789" s="158"/>
      <c r="L789" s="159"/>
      <c r="M789" s="16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</row>
    <row r="790">
      <c r="A790" s="100"/>
      <c r="B790" s="154"/>
      <c r="C790" s="100"/>
      <c r="D790" s="100"/>
      <c r="E790" s="100"/>
      <c r="F790" s="100"/>
      <c r="G790" s="100"/>
      <c r="H790" s="155"/>
      <c r="I790" s="156"/>
      <c r="J790" s="157"/>
      <c r="K790" s="158"/>
      <c r="L790" s="159"/>
      <c r="M790" s="16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</row>
    <row r="791">
      <c r="A791" s="100"/>
      <c r="B791" s="154"/>
      <c r="C791" s="100"/>
      <c r="D791" s="100"/>
      <c r="E791" s="100"/>
      <c r="F791" s="100"/>
      <c r="G791" s="100"/>
      <c r="H791" s="155"/>
      <c r="I791" s="156"/>
      <c r="J791" s="157"/>
      <c r="K791" s="158"/>
      <c r="L791" s="159"/>
      <c r="M791" s="16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</row>
    <row r="792">
      <c r="A792" s="100"/>
      <c r="B792" s="154"/>
      <c r="C792" s="100"/>
      <c r="D792" s="100"/>
      <c r="E792" s="100"/>
      <c r="F792" s="100"/>
      <c r="G792" s="100"/>
      <c r="H792" s="155"/>
      <c r="I792" s="156"/>
      <c r="J792" s="157"/>
      <c r="K792" s="158"/>
      <c r="L792" s="159"/>
      <c r="M792" s="16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</row>
    <row r="793">
      <c r="A793" s="100"/>
      <c r="B793" s="154"/>
      <c r="C793" s="100"/>
      <c r="D793" s="100"/>
      <c r="E793" s="100"/>
      <c r="F793" s="100"/>
      <c r="G793" s="100"/>
      <c r="H793" s="155"/>
      <c r="I793" s="156"/>
      <c r="J793" s="157"/>
      <c r="K793" s="158"/>
      <c r="L793" s="159"/>
      <c r="M793" s="16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</row>
    <row r="794">
      <c r="A794" s="100"/>
      <c r="B794" s="154"/>
      <c r="C794" s="100"/>
      <c r="D794" s="100"/>
      <c r="E794" s="100"/>
      <c r="F794" s="100"/>
      <c r="G794" s="100"/>
      <c r="H794" s="155"/>
      <c r="I794" s="156"/>
      <c r="J794" s="157"/>
      <c r="K794" s="158"/>
      <c r="L794" s="159"/>
      <c r="M794" s="16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</row>
    <row r="795">
      <c r="A795" s="100"/>
      <c r="B795" s="154"/>
      <c r="C795" s="100"/>
      <c r="D795" s="100"/>
      <c r="E795" s="100"/>
      <c r="F795" s="100"/>
      <c r="G795" s="100"/>
      <c r="H795" s="155"/>
      <c r="I795" s="156"/>
      <c r="J795" s="157"/>
      <c r="K795" s="158"/>
      <c r="L795" s="159"/>
      <c r="M795" s="16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</row>
    <row r="796">
      <c r="A796" s="100"/>
      <c r="B796" s="154"/>
      <c r="C796" s="100"/>
      <c r="D796" s="100"/>
      <c r="E796" s="100"/>
      <c r="F796" s="100"/>
      <c r="G796" s="100"/>
      <c r="H796" s="155"/>
      <c r="I796" s="156"/>
      <c r="J796" s="157"/>
      <c r="K796" s="158"/>
      <c r="L796" s="159"/>
      <c r="M796" s="16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</row>
    <row r="797">
      <c r="A797" s="100"/>
      <c r="B797" s="154"/>
      <c r="C797" s="100"/>
      <c r="D797" s="100"/>
      <c r="E797" s="100"/>
      <c r="F797" s="100"/>
      <c r="G797" s="100"/>
      <c r="H797" s="155"/>
      <c r="I797" s="156"/>
      <c r="J797" s="157"/>
      <c r="K797" s="158"/>
      <c r="L797" s="159"/>
      <c r="M797" s="16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</row>
    <row r="798">
      <c r="A798" s="100"/>
      <c r="B798" s="154"/>
      <c r="C798" s="100"/>
      <c r="D798" s="100"/>
      <c r="E798" s="100"/>
      <c r="F798" s="100"/>
      <c r="G798" s="100"/>
      <c r="H798" s="155"/>
      <c r="I798" s="156"/>
      <c r="J798" s="157"/>
      <c r="K798" s="158"/>
      <c r="L798" s="159"/>
      <c r="M798" s="16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</row>
    <row r="799">
      <c r="A799" s="100"/>
      <c r="B799" s="154"/>
      <c r="C799" s="100"/>
      <c r="D799" s="100"/>
      <c r="E799" s="100"/>
      <c r="F799" s="100"/>
      <c r="G799" s="100"/>
      <c r="H799" s="155"/>
      <c r="I799" s="156"/>
      <c r="J799" s="157"/>
      <c r="K799" s="158"/>
      <c r="L799" s="159"/>
      <c r="M799" s="16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</row>
    <row r="800">
      <c r="A800" s="100"/>
      <c r="B800" s="154"/>
      <c r="C800" s="100"/>
      <c r="D800" s="100"/>
      <c r="E800" s="100"/>
      <c r="F800" s="100"/>
      <c r="G800" s="100"/>
      <c r="H800" s="155"/>
      <c r="I800" s="156"/>
      <c r="J800" s="157"/>
      <c r="K800" s="158"/>
      <c r="L800" s="159"/>
      <c r="M800" s="16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</row>
    <row r="801">
      <c r="A801" s="100"/>
      <c r="B801" s="154"/>
      <c r="C801" s="100"/>
      <c r="D801" s="100"/>
      <c r="E801" s="100"/>
      <c r="F801" s="100"/>
      <c r="G801" s="100"/>
      <c r="H801" s="155"/>
      <c r="I801" s="156"/>
      <c r="J801" s="157"/>
      <c r="K801" s="158"/>
      <c r="L801" s="159"/>
      <c r="M801" s="16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</row>
    <row r="802">
      <c r="A802" s="100"/>
      <c r="B802" s="154"/>
      <c r="C802" s="100"/>
      <c r="D802" s="100"/>
      <c r="E802" s="100"/>
      <c r="F802" s="100"/>
      <c r="G802" s="100"/>
      <c r="H802" s="155"/>
      <c r="I802" s="156"/>
      <c r="J802" s="157"/>
      <c r="K802" s="158"/>
      <c r="L802" s="159"/>
      <c r="M802" s="16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</row>
    <row r="803">
      <c r="A803" s="100"/>
      <c r="B803" s="154"/>
      <c r="C803" s="100"/>
      <c r="D803" s="100"/>
      <c r="E803" s="100"/>
      <c r="F803" s="100"/>
      <c r="G803" s="100"/>
      <c r="H803" s="155"/>
      <c r="I803" s="156"/>
      <c r="J803" s="157"/>
      <c r="K803" s="158"/>
      <c r="L803" s="159"/>
      <c r="M803" s="16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</row>
    <row r="804">
      <c r="A804" s="100"/>
      <c r="B804" s="154"/>
      <c r="C804" s="100"/>
      <c r="D804" s="100"/>
      <c r="E804" s="100"/>
      <c r="F804" s="100"/>
      <c r="G804" s="100"/>
      <c r="H804" s="155"/>
      <c r="I804" s="156"/>
      <c r="J804" s="157"/>
      <c r="K804" s="158"/>
      <c r="L804" s="159"/>
      <c r="M804" s="16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</row>
    <row r="805">
      <c r="A805" s="100"/>
      <c r="B805" s="154"/>
      <c r="C805" s="100"/>
      <c r="D805" s="100"/>
      <c r="E805" s="100"/>
      <c r="F805" s="100"/>
      <c r="G805" s="100"/>
      <c r="H805" s="155"/>
      <c r="I805" s="156"/>
      <c r="J805" s="157"/>
      <c r="K805" s="158"/>
      <c r="L805" s="159"/>
      <c r="M805" s="16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</row>
    <row r="806">
      <c r="A806" s="100"/>
      <c r="B806" s="154"/>
      <c r="C806" s="100"/>
      <c r="D806" s="100"/>
      <c r="E806" s="100"/>
      <c r="F806" s="100"/>
      <c r="G806" s="100"/>
      <c r="H806" s="155"/>
      <c r="I806" s="156"/>
      <c r="J806" s="157"/>
      <c r="K806" s="158"/>
      <c r="L806" s="159"/>
      <c r="M806" s="16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</row>
    <row r="807">
      <c r="A807" s="100"/>
      <c r="B807" s="154"/>
      <c r="C807" s="100"/>
      <c r="D807" s="100"/>
      <c r="E807" s="100"/>
      <c r="F807" s="100"/>
      <c r="G807" s="100"/>
      <c r="H807" s="155"/>
      <c r="I807" s="156"/>
      <c r="J807" s="157"/>
      <c r="K807" s="158"/>
      <c r="L807" s="159"/>
      <c r="M807" s="16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</row>
    <row r="808">
      <c r="A808" s="100"/>
      <c r="B808" s="154"/>
      <c r="C808" s="100"/>
      <c r="D808" s="100"/>
      <c r="E808" s="100"/>
      <c r="F808" s="100"/>
      <c r="G808" s="100"/>
      <c r="H808" s="155"/>
      <c r="I808" s="156"/>
      <c r="J808" s="157"/>
      <c r="K808" s="158"/>
      <c r="L808" s="159"/>
      <c r="M808" s="16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</row>
    <row r="809">
      <c r="A809" s="100"/>
      <c r="B809" s="154"/>
      <c r="C809" s="100"/>
      <c r="D809" s="100"/>
      <c r="E809" s="100"/>
      <c r="F809" s="100"/>
      <c r="G809" s="100"/>
      <c r="H809" s="155"/>
      <c r="I809" s="156"/>
      <c r="J809" s="157"/>
      <c r="K809" s="158"/>
      <c r="L809" s="159"/>
      <c r="M809" s="16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</row>
    <row r="810">
      <c r="A810" s="100"/>
      <c r="B810" s="154"/>
      <c r="C810" s="100"/>
      <c r="D810" s="100"/>
      <c r="E810" s="100"/>
      <c r="F810" s="100"/>
      <c r="G810" s="100"/>
      <c r="H810" s="155"/>
      <c r="I810" s="156"/>
      <c r="J810" s="157"/>
      <c r="K810" s="158"/>
      <c r="L810" s="159"/>
      <c r="M810" s="16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</row>
    <row r="811">
      <c r="A811" s="100"/>
      <c r="B811" s="154"/>
      <c r="C811" s="100"/>
      <c r="D811" s="100"/>
      <c r="E811" s="100"/>
      <c r="F811" s="100"/>
      <c r="G811" s="100"/>
      <c r="H811" s="155"/>
      <c r="I811" s="156"/>
      <c r="J811" s="157"/>
      <c r="K811" s="158"/>
      <c r="L811" s="159"/>
      <c r="M811" s="16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</row>
    <row r="812">
      <c r="A812" s="100"/>
      <c r="B812" s="154"/>
      <c r="C812" s="100"/>
      <c r="D812" s="100"/>
      <c r="E812" s="100"/>
      <c r="F812" s="100"/>
      <c r="G812" s="100"/>
      <c r="H812" s="155"/>
      <c r="I812" s="156"/>
      <c r="J812" s="157"/>
      <c r="K812" s="158"/>
      <c r="L812" s="159"/>
      <c r="M812" s="16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</row>
    <row r="813">
      <c r="A813" s="100"/>
      <c r="B813" s="154"/>
      <c r="C813" s="100"/>
      <c r="D813" s="100"/>
      <c r="E813" s="100"/>
      <c r="F813" s="100"/>
      <c r="G813" s="100"/>
      <c r="H813" s="155"/>
      <c r="I813" s="156"/>
      <c r="J813" s="157"/>
      <c r="K813" s="158"/>
      <c r="L813" s="159"/>
      <c r="M813" s="16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</row>
    <row r="814">
      <c r="A814" s="100"/>
      <c r="B814" s="154"/>
      <c r="C814" s="100"/>
      <c r="D814" s="100"/>
      <c r="E814" s="100"/>
      <c r="F814" s="100"/>
      <c r="G814" s="100"/>
      <c r="H814" s="155"/>
      <c r="I814" s="156"/>
      <c r="J814" s="157"/>
      <c r="K814" s="158"/>
      <c r="L814" s="159"/>
      <c r="M814" s="16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</row>
    <row r="815">
      <c r="A815" s="100"/>
      <c r="B815" s="154"/>
      <c r="C815" s="100"/>
      <c r="D815" s="100"/>
      <c r="E815" s="100"/>
      <c r="F815" s="100"/>
      <c r="G815" s="100"/>
      <c r="H815" s="155"/>
      <c r="I815" s="156"/>
      <c r="J815" s="157"/>
      <c r="K815" s="158"/>
      <c r="L815" s="159"/>
      <c r="M815" s="16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</row>
    <row r="816">
      <c r="A816" s="100"/>
      <c r="B816" s="154"/>
      <c r="C816" s="100"/>
      <c r="D816" s="100"/>
      <c r="E816" s="100"/>
      <c r="F816" s="100"/>
      <c r="G816" s="100"/>
      <c r="H816" s="155"/>
      <c r="I816" s="156"/>
      <c r="J816" s="157"/>
      <c r="K816" s="158"/>
      <c r="L816" s="159"/>
      <c r="M816" s="16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</row>
    <row r="817">
      <c r="A817" s="100"/>
      <c r="B817" s="154"/>
      <c r="C817" s="100"/>
      <c r="D817" s="100"/>
      <c r="E817" s="100"/>
      <c r="F817" s="100"/>
      <c r="G817" s="100"/>
      <c r="H817" s="155"/>
      <c r="I817" s="156"/>
      <c r="J817" s="157"/>
      <c r="K817" s="158"/>
      <c r="L817" s="159"/>
      <c r="M817" s="16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</row>
    <row r="818">
      <c r="A818" s="100"/>
      <c r="B818" s="154"/>
      <c r="C818" s="100"/>
      <c r="D818" s="100"/>
      <c r="E818" s="100"/>
      <c r="F818" s="100"/>
      <c r="G818" s="100"/>
      <c r="H818" s="155"/>
      <c r="I818" s="156"/>
      <c r="J818" s="157"/>
      <c r="K818" s="158"/>
      <c r="L818" s="159"/>
      <c r="M818" s="16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</row>
    <row r="819">
      <c r="A819" s="100"/>
      <c r="B819" s="154"/>
      <c r="C819" s="100"/>
      <c r="D819" s="100"/>
      <c r="E819" s="100"/>
      <c r="F819" s="100"/>
      <c r="G819" s="100"/>
      <c r="H819" s="155"/>
      <c r="I819" s="156"/>
      <c r="J819" s="157"/>
      <c r="K819" s="158"/>
      <c r="L819" s="159"/>
      <c r="M819" s="16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</row>
    <row r="820">
      <c r="A820" s="100"/>
      <c r="B820" s="154"/>
      <c r="C820" s="100"/>
      <c r="D820" s="100"/>
      <c r="E820" s="100"/>
      <c r="F820" s="100"/>
      <c r="G820" s="100"/>
      <c r="H820" s="155"/>
      <c r="I820" s="156"/>
      <c r="J820" s="157"/>
      <c r="K820" s="158"/>
      <c r="L820" s="159"/>
      <c r="M820" s="16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</row>
    <row r="821">
      <c r="A821" s="100"/>
      <c r="B821" s="154"/>
      <c r="C821" s="100"/>
      <c r="D821" s="100"/>
      <c r="E821" s="100"/>
      <c r="F821" s="100"/>
      <c r="G821" s="100"/>
      <c r="H821" s="155"/>
      <c r="I821" s="156"/>
      <c r="J821" s="157"/>
      <c r="K821" s="158"/>
      <c r="L821" s="159"/>
      <c r="M821" s="16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</row>
    <row r="822">
      <c r="A822" s="100"/>
      <c r="B822" s="154"/>
      <c r="C822" s="100"/>
      <c r="D822" s="100"/>
      <c r="E822" s="100"/>
      <c r="F822" s="100"/>
      <c r="G822" s="100"/>
      <c r="H822" s="155"/>
      <c r="I822" s="156"/>
      <c r="J822" s="157"/>
      <c r="K822" s="158"/>
      <c r="L822" s="159"/>
      <c r="M822" s="16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</row>
    <row r="823">
      <c r="A823" s="100"/>
      <c r="B823" s="154"/>
      <c r="C823" s="100"/>
      <c r="D823" s="100"/>
      <c r="E823" s="100"/>
      <c r="F823" s="100"/>
      <c r="G823" s="100"/>
      <c r="H823" s="155"/>
      <c r="I823" s="156"/>
      <c r="J823" s="157"/>
      <c r="K823" s="158"/>
      <c r="L823" s="159"/>
      <c r="M823" s="16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</row>
    <row r="824">
      <c r="A824" s="100"/>
      <c r="B824" s="154"/>
      <c r="C824" s="100"/>
      <c r="D824" s="100"/>
      <c r="E824" s="100"/>
      <c r="F824" s="100"/>
      <c r="G824" s="100"/>
      <c r="H824" s="155"/>
      <c r="I824" s="156"/>
      <c r="J824" s="157"/>
      <c r="K824" s="158"/>
      <c r="L824" s="159"/>
      <c r="M824" s="16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</row>
    <row r="825">
      <c r="A825" s="100"/>
      <c r="B825" s="154"/>
      <c r="C825" s="100"/>
      <c r="D825" s="100"/>
      <c r="E825" s="100"/>
      <c r="F825" s="100"/>
      <c r="G825" s="100"/>
      <c r="H825" s="155"/>
      <c r="I825" s="156"/>
      <c r="J825" s="157"/>
      <c r="K825" s="158"/>
      <c r="L825" s="159"/>
      <c r="M825" s="16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</row>
    <row r="826">
      <c r="A826" s="100"/>
      <c r="B826" s="154"/>
      <c r="C826" s="100"/>
      <c r="D826" s="100"/>
      <c r="E826" s="100"/>
      <c r="F826" s="100"/>
      <c r="G826" s="100"/>
      <c r="H826" s="155"/>
      <c r="I826" s="156"/>
      <c r="J826" s="157"/>
      <c r="K826" s="158"/>
      <c r="L826" s="159"/>
      <c r="M826" s="16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</row>
    <row r="827">
      <c r="A827" s="100"/>
      <c r="B827" s="154"/>
      <c r="C827" s="100"/>
      <c r="D827" s="100"/>
      <c r="E827" s="100"/>
      <c r="F827" s="100"/>
      <c r="G827" s="100"/>
      <c r="H827" s="155"/>
      <c r="I827" s="156"/>
      <c r="J827" s="157"/>
      <c r="K827" s="158"/>
      <c r="L827" s="159"/>
      <c r="M827" s="16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</row>
    <row r="828">
      <c r="A828" s="100"/>
      <c r="B828" s="154"/>
      <c r="C828" s="100"/>
      <c r="D828" s="100"/>
      <c r="E828" s="100"/>
      <c r="F828" s="100"/>
      <c r="G828" s="100"/>
      <c r="H828" s="155"/>
      <c r="I828" s="156"/>
      <c r="J828" s="157"/>
      <c r="K828" s="158"/>
      <c r="L828" s="159"/>
      <c r="M828" s="16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</row>
    <row r="829">
      <c r="A829" s="100"/>
      <c r="B829" s="154"/>
      <c r="C829" s="100"/>
      <c r="D829" s="100"/>
      <c r="E829" s="100"/>
      <c r="F829" s="100"/>
      <c r="G829" s="100"/>
      <c r="H829" s="155"/>
      <c r="I829" s="156"/>
      <c r="J829" s="157"/>
      <c r="K829" s="158"/>
      <c r="L829" s="159"/>
      <c r="M829" s="16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</row>
    <row r="830">
      <c r="A830" s="100"/>
      <c r="B830" s="154"/>
      <c r="C830" s="100"/>
      <c r="D830" s="100"/>
      <c r="E830" s="100"/>
      <c r="F830" s="100"/>
      <c r="G830" s="100"/>
      <c r="H830" s="155"/>
      <c r="I830" s="156"/>
      <c r="J830" s="157"/>
      <c r="K830" s="158"/>
      <c r="L830" s="159"/>
      <c r="M830" s="16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</row>
    <row r="831">
      <c r="A831" s="100"/>
      <c r="B831" s="154"/>
      <c r="C831" s="100"/>
      <c r="D831" s="100"/>
      <c r="E831" s="100"/>
      <c r="F831" s="100"/>
      <c r="G831" s="100"/>
      <c r="H831" s="155"/>
      <c r="I831" s="156"/>
      <c r="J831" s="157"/>
      <c r="K831" s="158"/>
      <c r="L831" s="159"/>
      <c r="M831" s="16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</row>
    <row r="832">
      <c r="A832" s="100"/>
      <c r="B832" s="154"/>
      <c r="C832" s="100"/>
      <c r="D832" s="100"/>
      <c r="E832" s="100"/>
      <c r="F832" s="100"/>
      <c r="G832" s="100"/>
      <c r="H832" s="155"/>
      <c r="I832" s="156"/>
      <c r="J832" s="157"/>
      <c r="K832" s="158"/>
      <c r="L832" s="159"/>
      <c r="M832" s="16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</row>
    <row r="833">
      <c r="A833" s="100"/>
      <c r="B833" s="154"/>
      <c r="C833" s="100"/>
      <c r="D833" s="100"/>
      <c r="E833" s="100"/>
      <c r="F833" s="100"/>
      <c r="G833" s="100"/>
      <c r="H833" s="155"/>
      <c r="I833" s="156"/>
      <c r="J833" s="157"/>
      <c r="K833" s="158"/>
      <c r="L833" s="159"/>
      <c r="M833" s="16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</row>
    <row r="834">
      <c r="A834" s="100"/>
      <c r="B834" s="154"/>
      <c r="C834" s="100"/>
      <c r="D834" s="100"/>
      <c r="E834" s="100"/>
      <c r="F834" s="100"/>
      <c r="G834" s="100"/>
      <c r="H834" s="155"/>
      <c r="I834" s="156"/>
      <c r="J834" s="157"/>
      <c r="K834" s="158"/>
      <c r="L834" s="159"/>
      <c r="M834" s="16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</row>
    <row r="835">
      <c r="A835" s="100"/>
      <c r="B835" s="154"/>
      <c r="C835" s="100"/>
      <c r="D835" s="100"/>
      <c r="E835" s="100"/>
      <c r="F835" s="100"/>
      <c r="G835" s="100"/>
      <c r="H835" s="155"/>
      <c r="I835" s="156"/>
      <c r="J835" s="157"/>
      <c r="K835" s="158"/>
      <c r="L835" s="159"/>
      <c r="M835" s="16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</row>
    <row r="836">
      <c r="A836" s="100"/>
      <c r="B836" s="154"/>
      <c r="C836" s="100"/>
      <c r="D836" s="100"/>
      <c r="E836" s="100"/>
      <c r="F836" s="100"/>
      <c r="G836" s="100"/>
      <c r="H836" s="155"/>
      <c r="I836" s="156"/>
      <c r="J836" s="157"/>
      <c r="K836" s="158"/>
      <c r="L836" s="159"/>
      <c r="M836" s="16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</row>
    <row r="837">
      <c r="A837" s="100"/>
      <c r="B837" s="154"/>
      <c r="C837" s="100"/>
      <c r="D837" s="100"/>
      <c r="E837" s="100"/>
      <c r="F837" s="100"/>
      <c r="G837" s="100"/>
      <c r="H837" s="155"/>
      <c r="I837" s="156"/>
      <c r="J837" s="157"/>
      <c r="K837" s="158"/>
      <c r="L837" s="159"/>
      <c r="M837" s="16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</row>
    <row r="838">
      <c r="A838" s="100"/>
      <c r="B838" s="154"/>
      <c r="C838" s="100"/>
      <c r="D838" s="100"/>
      <c r="E838" s="100"/>
      <c r="F838" s="100"/>
      <c r="G838" s="100"/>
      <c r="H838" s="155"/>
      <c r="I838" s="156"/>
      <c r="J838" s="157"/>
      <c r="K838" s="158"/>
      <c r="L838" s="159"/>
      <c r="M838" s="16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</row>
    <row r="839">
      <c r="A839" s="100"/>
      <c r="B839" s="154"/>
      <c r="C839" s="100"/>
      <c r="D839" s="100"/>
      <c r="E839" s="100"/>
      <c r="F839" s="100"/>
      <c r="G839" s="100"/>
      <c r="H839" s="155"/>
      <c r="I839" s="156"/>
      <c r="J839" s="157"/>
      <c r="K839" s="158"/>
      <c r="L839" s="159"/>
      <c r="M839" s="16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</row>
    <row r="840">
      <c r="A840" s="100"/>
      <c r="B840" s="154"/>
      <c r="C840" s="100"/>
      <c r="D840" s="100"/>
      <c r="E840" s="100"/>
      <c r="F840" s="100"/>
      <c r="G840" s="100"/>
      <c r="H840" s="155"/>
      <c r="I840" s="156"/>
      <c r="J840" s="157"/>
      <c r="K840" s="158"/>
      <c r="L840" s="159"/>
      <c r="M840" s="16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</row>
    <row r="841">
      <c r="A841" s="100"/>
      <c r="B841" s="154"/>
      <c r="C841" s="100"/>
      <c r="D841" s="100"/>
      <c r="E841" s="100"/>
      <c r="F841" s="100"/>
      <c r="G841" s="100"/>
      <c r="H841" s="155"/>
      <c r="I841" s="156"/>
      <c r="J841" s="157"/>
      <c r="K841" s="158"/>
      <c r="L841" s="159"/>
      <c r="M841" s="16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</row>
    <row r="842">
      <c r="A842" s="100"/>
      <c r="B842" s="154"/>
      <c r="C842" s="100"/>
      <c r="D842" s="100"/>
      <c r="E842" s="100"/>
      <c r="F842" s="100"/>
      <c r="G842" s="100"/>
      <c r="H842" s="155"/>
      <c r="I842" s="156"/>
      <c r="J842" s="157"/>
      <c r="K842" s="158"/>
      <c r="L842" s="159"/>
      <c r="M842" s="16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</row>
    <row r="843">
      <c r="A843" s="100"/>
      <c r="B843" s="154"/>
      <c r="C843" s="100"/>
      <c r="D843" s="100"/>
      <c r="E843" s="100"/>
      <c r="F843" s="100"/>
      <c r="G843" s="100"/>
      <c r="H843" s="155"/>
      <c r="I843" s="156"/>
      <c r="J843" s="157"/>
      <c r="K843" s="158"/>
      <c r="L843" s="159"/>
      <c r="M843" s="16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</row>
    <row r="844">
      <c r="A844" s="100"/>
      <c r="B844" s="154"/>
      <c r="C844" s="100"/>
      <c r="D844" s="100"/>
      <c r="E844" s="100"/>
      <c r="F844" s="100"/>
      <c r="G844" s="100"/>
      <c r="H844" s="155"/>
      <c r="I844" s="156"/>
      <c r="J844" s="157"/>
      <c r="K844" s="158"/>
      <c r="L844" s="159"/>
      <c r="M844" s="16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</row>
    <row r="845">
      <c r="A845" s="100"/>
      <c r="B845" s="154"/>
      <c r="C845" s="100"/>
      <c r="D845" s="100"/>
      <c r="E845" s="100"/>
      <c r="F845" s="100"/>
      <c r="G845" s="100"/>
      <c r="H845" s="155"/>
      <c r="I845" s="156"/>
      <c r="J845" s="157"/>
      <c r="K845" s="158"/>
      <c r="L845" s="159"/>
      <c r="M845" s="16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</row>
    <row r="846">
      <c r="A846" s="100"/>
      <c r="B846" s="154"/>
      <c r="C846" s="100"/>
      <c r="D846" s="100"/>
      <c r="E846" s="100"/>
      <c r="F846" s="100"/>
      <c r="G846" s="100"/>
      <c r="H846" s="155"/>
      <c r="I846" s="156"/>
      <c r="J846" s="157"/>
      <c r="K846" s="158"/>
      <c r="L846" s="159"/>
      <c r="M846" s="16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</row>
    <row r="847">
      <c r="A847" s="100"/>
      <c r="B847" s="154"/>
      <c r="C847" s="100"/>
      <c r="D847" s="100"/>
      <c r="E847" s="100"/>
      <c r="F847" s="100"/>
      <c r="G847" s="100"/>
      <c r="H847" s="155"/>
      <c r="I847" s="156"/>
      <c r="J847" s="157"/>
      <c r="K847" s="158"/>
      <c r="L847" s="159"/>
      <c r="M847" s="16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</row>
    <row r="848">
      <c r="A848" s="100"/>
      <c r="B848" s="154"/>
      <c r="C848" s="100"/>
      <c r="D848" s="100"/>
      <c r="E848" s="100"/>
      <c r="F848" s="100"/>
      <c r="G848" s="100"/>
      <c r="H848" s="155"/>
      <c r="I848" s="156"/>
      <c r="J848" s="157"/>
      <c r="K848" s="158"/>
      <c r="L848" s="159"/>
      <c r="M848" s="16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</row>
    <row r="849">
      <c r="A849" s="100"/>
      <c r="B849" s="154"/>
      <c r="C849" s="100"/>
      <c r="D849" s="100"/>
      <c r="E849" s="100"/>
      <c r="F849" s="100"/>
      <c r="G849" s="100"/>
      <c r="H849" s="155"/>
      <c r="I849" s="156"/>
      <c r="J849" s="157"/>
      <c r="K849" s="158"/>
      <c r="L849" s="159"/>
      <c r="M849" s="16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</row>
    <row r="850">
      <c r="A850" s="100"/>
      <c r="B850" s="154"/>
      <c r="C850" s="100"/>
      <c r="D850" s="100"/>
      <c r="E850" s="100"/>
      <c r="F850" s="100"/>
      <c r="G850" s="100"/>
      <c r="H850" s="155"/>
      <c r="I850" s="156"/>
      <c r="J850" s="157"/>
      <c r="K850" s="158"/>
      <c r="L850" s="159"/>
      <c r="M850" s="16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</row>
    <row r="851">
      <c r="A851" s="100"/>
      <c r="B851" s="154"/>
      <c r="C851" s="100"/>
      <c r="D851" s="100"/>
      <c r="E851" s="100"/>
      <c r="F851" s="100"/>
      <c r="G851" s="100"/>
      <c r="H851" s="155"/>
      <c r="I851" s="156"/>
      <c r="J851" s="157"/>
      <c r="K851" s="158"/>
      <c r="L851" s="159"/>
      <c r="M851" s="16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</row>
    <row r="852">
      <c r="A852" s="100"/>
      <c r="B852" s="154"/>
      <c r="C852" s="100"/>
      <c r="D852" s="100"/>
      <c r="E852" s="100"/>
      <c r="F852" s="100"/>
      <c r="G852" s="100"/>
      <c r="H852" s="155"/>
      <c r="I852" s="156"/>
      <c r="J852" s="157"/>
      <c r="K852" s="158"/>
      <c r="L852" s="159"/>
      <c r="M852" s="16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</row>
    <row r="853">
      <c r="A853" s="100"/>
      <c r="B853" s="154"/>
      <c r="C853" s="100"/>
      <c r="D853" s="100"/>
      <c r="E853" s="100"/>
      <c r="F853" s="100"/>
      <c r="G853" s="100"/>
      <c r="H853" s="155"/>
      <c r="I853" s="156"/>
      <c r="J853" s="157"/>
      <c r="K853" s="158"/>
      <c r="L853" s="159"/>
      <c r="M853" s="16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</row>
    <row r="854">
      <c r="A854" s="100"/>
      <c r="B854" s="154"/>
      <c r="C854" s="100"/>
      <c r="D854" s="100"/>
      <c r="E854" s="100"/>
      <c r="F854" s="100"/>
      <c r="G854" s="100"/>
      <c r="H854" s="155"/>
      <c r="I854" s="156"/>
      <c r="J854" s="157"/>
      <c r="K854" s="158"/>
      <c r="L854" s="159"/>
      <c r="M854" s="16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</row>
    <row r="855">
      <c r="A855" s="100"/>
      <c r="B855" s="154"/>
      <c r="C855" s="100"/>
      <c r="D855" s="100"/>
      <c r="E855" s="100"/>
      <c r="F855" s="100"/>
      <c r="G855" s="100"/>
      <c r="H855" s="155"/>
      <c r="I855" s="156"/>
      <c r="J855" s="157"/>
      <c r="K855" s="158"/>
      <c r="L855" s="159"/>
      <c r="M855" s="16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</row>
    <row r="856">
      <c r="A856" s="100"/>
      <c r="B856" s="154"/>
      <c r="C856" s="100"/>
      <c r="D856" s="100"/>
      <c r="E856" s="100"/>
      <c r="F856" s="100"/>
      <c r="G856" s="100"/>
      <c r="H856" s="155"/>
      <c r="I856" s="156"/>
      <c r="J856" s="157"/>
      <c r="K856" s="158"/>
      <c r="L856" s="159"/>
      <c r="M856" s="16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</row>
    <row r="857">
      <c r="A857" s="100"/>
      <c r="B857" s="154"/>
      <c r="C857" s="100"/>
      <c r="D857" s="100"/>
      <c r="E857" s="100"/>
      <c r="F857" s="100"/>
      <c r="G857" s="100"/>
      <c r="H857" s="155"/>
      <c r="I857" s="156"/>
      <c r="J857" s="157"/>
      <c r="K857" s="158"/>
      <c r="L857" s="159"/>
      <c r="M857" s="16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</row>
    <row r="858">
      <c r="A858" s="100"/>
      <c r="B858" s="154"/>
      <c r="C858" s="100"/>
      <c r="D858" s="100"/>
      <c r="E858" s="100"/>
      <c r="F858" s="100"/>
      <c r="G858" s="100"/>
      <c r="H858" s="155"/>
      <c r="I858" s="156"/>
      <c r="J858" s="157"/>
      <c r="K858" s="158"/>
      <c r="L858" s="159"/>
      <c r="M858" s="16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</row>
    <row r="859">
      <c r="A859" s="100"/>
      <c r="B859" s="154"/>
      <c r="C859" s="100"/>
      <c r="D859" s="100"/>
      <c r="E859" s="100"/>
      <c r="F859" s="100"/>
      <c r="G859" s="100"/>
      <c r="H859" s="155"/>
      <c r="I859" s="156"/>
      <c r="J859" s="157"/>
      <c r="K859" s="158"/>
      <c r="L859" s="159"/>
      <c r="M859" s="16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</row>
    <row r="860">
      <c r="A860" s="100"/>
      <c r="B860" s="154"/>
      <c r="C860" s="100"/>
      <c r="D860" s="100"/>
      <c r="E860" s="100"/>
      <c r="F860" s="100"/>
      <c r="G860" s="100"/>
      <c r="H860" s="155"/>
      <c r="I860" s="156"/>
      <c r="J860" s="157"/>
      <c r="K860" s="158"/>
      <c r="L860" s="159"/>
      <c r="M860" s="16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</row>
    <row r="861">
      <c r="A861" s="100"/>
      <c r="B861" s="154"/>
      <c r="C861" s="100"/>
      <c r="D861" s="100"/>
      <c r="E861" s="100"/>
      <c r="F861" s="100"/>
      <c r="G861" s="100"/>
      <c r="H861" s="155"/>
      <c r="I861" s="156"/>
      <c r="J861" s="157"/>
      <c r="K861" s="158"/>
      <c r="L861" s="159"/>
      <c r="M861" s="16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</row>
    <row r="862">
      <c r="A862" s="100"/>
      <c r="B862" s="154"/>
      <c r="C862" s="100"/>
      <c r="D862" s="100"/>
      <c r="E862" s="100"/>
      <c r="F862" s="100"/>
      <c r="G862" s="100"/>
      <c r="H862" s="155"/>
      <c r="I862" s="156"/>
      <c r="J862" s="157"/>
      <c r="K862" s="158"/>
      <c r="L862" s="159"/>
      <c r="M862" s="16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</row>
    <row r="863">
      <c r="A863" s="100"/>
      <c r="B863" s="154"/>
      <c r="C863" s="100"/>
      <c r="D863" s="100"/>
      <c r="E863" s="100"/>
      <c r="F863" s="100"/>
      <c r="G863" s="100"/>
      <c r="H863" s="155"/>
      <c r="I863" s="156"/>
      <c r="J863" s="157"/>
      <c r="K863" s="158"/>
      <c r="L863" s="159"/>
      <c r="M863" s="16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</row>
    <row r="864">
      <c r="A864" s="100"/>
      <c r="B864" s="154"/>
      <c r="C864" s="100"/>
      <c r="D864" s="100"/>
      <c r="E864" s="100"/>
      <c r="F864" s="100"/>
      <c r="G864" s="100"/>
      <c r="H864" s="155"/>
      <c r="I864" s="156"/>
      <c r="J864" s="157"/>
      <c r="K864" s="158"/>
      <c r="L864" s="159"/>
      <c r="M864" s="16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</row>
    <row r="865">
      <c r="A865" s="100"/>
      <c r="B865" s="154"/>
      <c r="C865" s="100"/>
      <c r="D865" s="100"/>
      <c r="E865" s="100"/>
      <c r="F865" s="100"/>
      <c r="G865" s="100"/>
      <c r="H865" s="155"/>
      <c r="I865" s="156"/>
      <c r="J865" s="157"/>
      <c r="K865" s="158"/>
      <c r="L865" s="159"/>
      <c r="M865" s="16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</row>
    <row r="866">
      <c r="A866" s="100"/>
      <c r="B866" s="154"/>
      <c r="C866" s="100"/>
      <c r="D866" s="100"/>
      <c r="E866" s="100"/>
      <c r="F866" s="100"/>
      <c r="G866" s="100"/>
      <c r="H866" s="155"/>
      <c r="I866" s="156"/>
      <c r="J866" s="157"/>
      <c r="K866" s="158"/>
      <c r="L866" s="159"/>
      <c r="M866" s="16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</row>
    <row r="867">
      <c r="A867" s="100"/>
      <c r="B867" s="154"/>
      <c r="C867" s="100"/>
      <c r="D867" s="100"/>
      <c r="E867" s="100"/>
      <c r="F867" s="100"/>
      <c r="G867" s="100"/>
      <c r="H867" s="155"/>
      <c r="I867" s="156"/>
      <c r="J867" s="157"/>
      <c r="K867" s="158"/>
      <c r="L867" s="159"/>
      <c r="M867" s="16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</row>
    <row r="868">
      <c r="A868" s="100"/>
      <c r="B868" s="154"/>
      <c r="C868" s="100"/>
      <c r="D868" s="100"/>
      <c r="E868" s="100"/>
      <c r="F868" s="100"/>
      <c r="G868" s="100"/>
      <c r="H868" s="155"/>
      <c r="I868" s="156"/>
      <c r="J868" s="157"/>
      <c r="K868" s="158"/>
      <c r="L868" s="159"/>
      <c r="M868" s="16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</row>
    <row r="869">
      <c r="A869" s="100"/>
      <c r="B869" s="154"/>
      <c r="C869" s="100"/>
      <c r="D869" s="100"/>
      <c r="E869" s="100"/>
      <c r="F869" s="100"/>
      <c r="G869" s="100"/>
      <c r="H869" s="155"/>
      <c r="I869" s="156"/>
      <c r="J869" s="157"/>
      <c r="K869" s="158"/>
      <c r="L869" s="159"/>
      <c r="M869" s="16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</row>
    <row r="870">
      <c r="A870" s="100"/>
      <c r="B870" s="154"/>
      <c r="C870" s="100"/>
      <c r="D870" s="100"/>
      <c r="E870" s="100"/>
      <c r="F870" s="100"/>
      <c r="G870" s="100"/>
      <c r="H870" s="155"/>
      <c r="I870" s="156"/>
      <c r="J870" s="157"/>
      <c r="K870" s="158"/>
      <c r="L870" s="159"/>
      <c r="M870" s="16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</row>
    <row r="871">
      <c r="A871" s="100"/>
      <c r="B871" s="154"/>
      <c r="C871" s="100"/>
      <c r="D871" s="100"/>
      <c r="E871" s="100"/>
      <c r="F871" s="100"/>
      <c r="G871" s="100"/>
      <c r="H871" s="155"/>
      <c r="I871" s="156"/>
      <c r="J871" s="157"/>
      <c r="K871" s="158"/>
      <c r="L871" s="159"/>
      <c r="M871" s="16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</row>
    <row r="872">
      <c r="A872" s="100"/>
      <c r="B872" s="154"/>
      <c r="C872" s="100"/>
      <c r="D872" s="100"/>
      <c r="E872" s="100"/>
      <c r="F872" s="100"/>
      <c r="G872" s="100"/>
      <c r="H872" s="155"/>
      <c r="I872" s="156"/>
      <c r="J872" s="157"/>
      <c r="K872" s="158"/>
      <c r="L872" s="159"/>
      <c r="M872" s="16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</row>
    <row r="873">
      <c r="A873" s="100"/>
      <c r="B873" s="154"/>
      <c r="C873" s="100"/>
      <c r="D873" s="100"/>
      <c r="E873" s="100"/>
      <c r="F873" s="100"/>
      <c r="G873" s="100"/>
      <c r="H873" s="155"/>
      <c r="I873" s="156"/>
      <c r="J873" s="157"/>
      <c r="K873" s="158"/>
      <c r="L873" s="159"/>
      <c r="M873" s="16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</row>
    <row r="874">
      <c r="A874" s="100"/>
      <c r="B874" s="154"/>
      <c r="C874" s="100"/>
      <c r="D874" s="100"/>
      <c r="E874" s="100"/>
      <c r="F874" s="100"/>
      <c r="G874" s="100"/>
      <c r="H874" s="155"/>
      <c r="I874" s="156"/>
      <c r="J874" s="157"/>
      <c r="K874" s="158"/>
      <c r="L874" s="159"/>
      <c r="M874" s="16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</row>
    <row r="875">
      <c r="A875" s="100"/>
      <c r="B875" s="154"/>
      <c r="C875" s="100"/>
      <c r="D875" s="100"/>
      <c r="E875" s="100"/>
      <c r="F875" s="100"/>
      <c r="G875" s="100"/>
      <c r="H875" s="155"/>
      <c r="I875" s="156"/>
      <c r="J875" s="157"/>
      <c r="K875" s="158"/>
      <c r="L875" s="159"/>
      <c r="M875" s="16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</row>
    <row r="876">
      <c r="A876" s="100"/>
      <c r="B876" s="154"/>
      <c r="C876" s="100"/>
      <c r="D876" s="100"/>
      <c r="E876" s="100"/>
      <c r="F876" s="100"/>
      <c r="G876" s="100"/>
      <c r="H876" s="155"/>
      <c r="I876" s="156"/>
      <c r="J876" s="157"/>
      <c r="K876" s="158"/>
      <c r="L876" s="159"/>
      <c r="M876" s="16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</row>
    <row r="877">
      <c r="A877" s="100"/>
      <c r="B877" s="154"/>
      <c r="C877" s="100"/>
      <c r="D877" s="100"/>
      <c r="E877" s="100"/>
      <c r="F877" s="100"/>
      <c r="G877" s="100"/>
      <c r="H877" s="155"/>
      <c r="I877" s="156"/>
      <c r="J877" s="157"/>
      <c r="K877" s="158"/>
      <c r="L877" s="159"/>
      <c r="M877" s="16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</row>
    <row r="878">
      <c r="A878" s="100"/>
      <c r="B878" s="154"/>
      <c r="C878" s="100"/>
      <c r="D878" s="100"/>
      <c r="E878" s="100"/>
      <c r="F878" s="100"/>
      <c r="G878" s="100"/>
      <c r="H878" s="155"/>
      <c r="I878" s="156"/>
      <c r="J878" s="157"/>
      <c r="K878" s="158"/>
      <c r="L878" s="159"/>
      <c r="M878" s="16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</row>
    <row r="879">
      <c r="A879" s="100"/>
      <c r="B879" s="154"/>
      <c r="C879" s="100"/>
      <c r="D879" s="100"/>
      <c r="E879" s="100"/>
      <c r="F879" s="100"/>
      <c r="G879" s="100"/>
      <c r="H879" s="155"/>
      <c r="I879" s="156"/>
      <c r="J879" s="157"/>
      <c r="K879" s="158"/>
      <c r="L879" s="159"/>
      <c r="M879" s="16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</row>
    <row r="880">
      <c r="A880" s="100"/>
      <c r="B880" s="154"/>
      <c r="C880" s="100"/>
      <c r="D880" s="100"/>
      <c r="E880" s="100"/>
      <c r="F880" s="100"/>
      <c r="G880" s="100"/>
      <c r="H880" s="155"/>
      <c r="I880" s="156"/>
      <c r="J880" s="157"/>
      <c r="K880" s="158"/>
      <c r="L880" s="159"/>
      <c r="M880" s="16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</row>
    <row r="881">
      <c r="A881" s="100"/>
      <c r="B881" s="154"/>
      <c r="C881" s="100"/>
      <c r="D881" s="100"/>
      <c r="E881" s="100"/>
      <c r="F881" s="100"/>
      <c r="G881" s="100"/>
      <c r="H881" s="155"/>
      <c r="I881" s="156"/>
      <c r="J881" s="157"/>
      <c r="K881" s="158"/>
      <c r="L881" s="159"/>
      <c r="M881" s="16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</row>
    <row r="882">
      <c r="A882" s="100"/>
      <c r="B882" s="154"/>
      <c r="C882" s="100"/>
      <c r="D882" s="100"/>
      <c r="E882" s="100"/>
      <c r="F882" s="100"/>
      <c r="G882" s="100"/>
      <c r="H882" s="155"/>
      <c r="I882" s="156"/>
      <c r="J882" s="157"/>
      <c r="K882" s="158"/>
      <c r="L882" s="159"/>
      <c r="M882" s="16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</row>
    <row r="883">
      <c r="A883" s="100"/>
      <c r="B883" s="154"/>
      <c r="C883" s="100"/>
      <c r="D883" s="100"/>
      <c r="E883" s="100"/>
      <c r="F883" s="100"/>
      <c r="G883" s="100"/>
      <c r="H883" s="155"/>
      <c r="I883" s="156"/>
      <c r="J883" s="157"/>
      <c r="K883" s="158"/>
      <c r="L883" s="159"/>
      <c r="M883" s="16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</row>
    <row r="884">
      <c r="A884" s="100"/>
      <c r="B884" s="154"/>
      <c r="C884" s="100"/>
      <c r="D884" s="100"/>
      <c r="E884" s="100"/>
      <c r="F884" s="100"/>
      <c r="G884" s="100"/>
      <c r="H884" s="155"/>
      <c r="I884" s="156"/>
      <c r="J884" s="157"/>
      <c r="K884" s="158"/>
      <c r="L884" s="159"/>
      <c r="M884" s="16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</row>
    <row r="885">
      <c r="A885" s="100"/>
      <c r="B885" s="154"/>
      <c r="C885" s="100"/>
      <c r="D885" s="100"/>
      <c r="E885" s="100"/>
      <c r="F885" s="100"/>
      <c r="G885" s="100"/>
      <c r="H885" s="155"/>
      <c r="I885" s="156"/>
      <c r="J885" s="157"/>
      <c r="K885" s="158"/>
      <c r="L885" s="159"/>
      <c r="M885" s="16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</row>
    <row r="886">
      <c r="A886" s="100"/>
      <c r="B886" s="154"/>
      <c r="C886" s="100"/>
      <c r="D886" s="100"/>
      <c r="E886" s="100"/>
      <c r="F886" s="100"/>
      <c r="G886" s="100"/>
      <c r="H886" s="155"/>
      <c r="I886" s="156"/>
      <c r="J886" s="157"/>
      <c r="K886" s="158"/>
      <c r="L886" s="159"/>
      <c r="M886" s="16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</row>
    <row r="887">
      <c r="A887" s="100"/>
      <c r="B887" s="154"/>
      <c r="C887" s="100"/>
      <c r="D887" s="100"/>
      <c r="E887" s="100"/>
      <c r="F887" s="100"/>
      <c r="G887" s="100"/>
      <c r="H887" s="155"/>
      <c r="I887" s="156"/>
      <c r="J887" s="157"/>
      <c r="K887" s="158"/>
      <c r="L887" s="159"/>
      <c r="M887" s="16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</row>
    <row r="888">
      <c r="A888" s="100"/>
      <c r="B888" s="154"/>
      <c r="C888" s="100"/>
      <c r="D888" s="100"/>
      <c r="E888" s="100"/>
      <c r="F888" s="100"/>
      <c r="G888" s="100"/>
      <c r="H888" s="155"/>
      <c r="I888" s="156"/>
      <c r="J888" s="157"/>
      <c r="K888" s="158"/>
      <c r="L888" s="159"/>
      <c r="M888" s="16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</row>
    <row r="889">
      <c r="A889" s="100"/>
      <c r="B889" s="154"/>
      <c r="C889" s="100"/>
      <c r="D889" s="100"/>
      <c r="E889" s="100"/>
      <c r="F889" s="100"/>
      <c r="G889" s="100"/>
      <c r="H889" s="155"/>
      <c r="I889" s="156"/>
      <c r="J889" s="157"/>
      <c r="K889" s="158"/>
      <c r="L889" s="159"/>
      <c r="M889" s="16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</row>
    <row r="890">
      <c r="A890" s="100"/>
      <c r="B890" s="154"/>
      <c r="C890" s="100"/>
      <c r="D890" s="100"/>
      <c r="E890" s="100"/>
      <c r="F890" s="100"/>
      <c r="G890" s="100"/>
      <c r="H890" s="155"/>
      <c r="I890" s="156"/>
      <c r="J890" s="157"/>
      <c r="K890" s="158"/>
      <c r="L890" s="159"/>
      <c r="M890" s="16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</row>
    <row r="891">
      <c r="A891" s="100"/>
      <c r="B891" s="154"/>
      <c r="C891" s="100"/>
      <c r="D891" s="100"/>
      <c r="E891" s="100"/>
      <c r="F891" s="100"/>
      <c r="G891" s="100"/>
      <c r="H891" s="155"/>
      <c r="I891" s="156"/>
      <c r="J891" s="157"/>
      <c r="K891" s="158"/>
      <c r="L891" s="159"/>
      <c r="M891" s="16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</row>
    <row r="892">
      <c r="A892" s="100"/>
      <c r="B892" s="154"/>
      <c r="C892" s="100"/>
      <c r="D892" s="100"/>
      <c r="E892" s="100"/>
      <c r="F892" s="100"/>
      <c r="G892" s="100"/>
      <c r="H892" s="155"/>
      <c r="I892" s="156"/>
      <c r="J892" s="157"/>
      <c r="K892" s="158"/>
      <c r="L892" s="159"/>
      <c r="M892" s="16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</row>
    <row r="893">
      <c r="A893" s="100"/>
      <c r="B893" s="154"/>
      <c r="C893" s="100"/>
      <c r="D893" s="100"/>
      <c r="E893" s="100"/>
      <c r="F893" s="100"/>
      <c r="G893" s="100"/>
      <c r="H893" s="155"/>
      <c r="I893" s="156"/>
      <c r="J893" s="157"/>
      <c r="K893" s="158"/>
      <c r="L893" s="159"/>
      <c r="M893" s="16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</row>
    <row r="894">
      <c r="A894" s="100"/>
      <c r="B894" s="154"/>
      <c r="C894" s="100"/>
      <c r="D894" s="100"/>
      <c r="E894" s="100"/>
      <c r="F894" s="100"/>
      <c r="G894" s="100"/>
      <c r="H894" s="155"/>
      <c r="I894" s="156"/>
      <c r="J894" s="157"/>
      <c r="K894" s="158"/>
      <c r="L894" s="159"/>
      <c r="M894" s="16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</row>
    <row r="895">
      <c r="A895" s="100"/>
      <c r="B895" s="154"/>
      <c r="C895" s="100"/>
      <c r="D895" s="100"/>
      <c r="E895" s="100"/>
      <c r="F895" s="100"/>
      <c r="G895" s="100"/>
      <c r="H895" s="155"/>
      <c r="I895" s="156"/>
      <c r="J895" s="157"/>
      <c r="K895" s="158"/>
      <c r="L895" s="159"/>
      <c r="M895" s="16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</row>
    <row r="896">
      <c r="A896" s="100"/>
      <c r="B896" s="154"/>
      <c r="C896" s="100"/>
      <c r="D896" s="100"/>
      <c r="E896" s="100"/>
      <c r="F896" s="100"/>
      <c r="G896" s="100"/>
      <c r="H896" s="155"/>
      <c r="I896" s="156"/>
      <c r="J896" s="157"/>
      <c r="K896" s="158"/>
      <c r="L896" s="159"/>
      <c r="M896" s="16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</row>
    <row r="897">
      <c r="A897" s="100"/>
      <c r="B897" s="154"/>
      <c r="C897" s="100"/>
      <c r="D897" s="100"/>
      <c r="E897" s="100"/>
      <c r="F897" s="100"/>
      <c r="G897" s="100"/>
      <c r="H897" s="155"/>
      <c r="I897" s="156"/>
      <c r="J897" s="157"/>
      <c r="K897" s="158"/>
      <c r="L897" s="159"/>
      <c r="M897" s="16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</row>
    <row r="898">
      <c r="A898" s="100"/>
      <c r="B898" s="154"/>
      <c r="C898" s="100"/>
      <c r="D898" s="100"/>
      <c r="E898" s="100"/>
      <c r="F898" s="100"/>
      <c r="G898" s="100"/>
      <c r="H898" s="155"/>
      <c r="I898" s="156"/>
      <c r="J898" s="157"/>
      <c r="K898" s="158"/>
      <c r="L898" s="159"/>
      <c r="M898" s="16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</row>
    <row r="899">
      <c r="A899" s="100"/>
      <c r="B899" s="154"/>
      <c r="C899" s="100"/>
      <c r="D899" s="100"/>
      <c r="E899" s="100"/>
      <c r="F899" s="100"/>
      <c r="G899" s="100"/>
      <c r="H899" s="155"/>
      <c r="I899" s="156"/>
      <c r="J899" s="157"/>
      <c r="K899" s="158"/>
      <c r="L899" s="159"/>
      <c r="M899" s="16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</row>
    <row r="900">
      <c r="A900" s="100"/>
      <c r="B900" s="154"/>
      <c r="C900" s="100"/>
      <c r="D900" s="100"/>
      <c r="E900" s="100"/>
      <c r="F900" s="100"/>
      <c r="G900" s="100"/>
      <c r="H900" s="155"/>
      <c r="I900" s="156"/>
      <c r="J900" s="157"/>
      <c r="K900" s="158"/>
      <c r="L900" s="159"/>
      <c r="M900" s="16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</row>
    <row r="901">
      <c r="A901" s="100"/>
      <c r="B901" s="154"/>
      <c r="C901" s="100"/>
      <c r="D901" s="100"/>
      <c r="E901" s="100"/>
      <c r="F901" s="100"/>
      <c r="G901" s="100"/>
      <c r="H901" s="155"/>
      <c r="I901" s="156"/>
      <c r="J901" s="157"/>
      <c r="K901" s="158"/>
      <c r="L901" s="159"/>
      <c r="M901" s="16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</row>
    <row r="902">
      <c r="A902" s="100"/>
      <c r="B902" s="154"/>
      <c r="C902" s="100"/>
      <c r="D902" s="100"/>
      <c r="E902" s="100"/>
      <c r="F902" s="100"/>
      <c r="G902" s="100"/>
      <c r="H902" s="155"/>
      <c r="I902" s="156"/>
      <c r="J902" s="157"/>
      <c r="K902" s="158"/>
      <c r="L902" s="159"/>
      <c r="M902" s="16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</row>
    <row r="903">
      <c r="A903" s="100"/>
      <c r="B903" s="154"/>
      <c r="C903" s="100"/>
      <c r="D903" s="100"/>
      <c r="E903" s="100"/>
      <c r="F903" s="100"/>
      <c r="G903" s="100"/>
      <c r="H903" s="155"/>
      <c r="I903" s="156"/>
      <c r="J903" s="157"/>
      <c r="K903" s="158"/>
      <c r="L903" s="159"/>
      <c r="M903" s="16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</row>
    <row r="904">
      <c r="A904" s="100"/>
      <c r="B904" s="154"/>
      <c r="C904" s="100"/>
      <c r="D904" s="100"/>
      <c r="E904" s="100"/>
      <c r="F904" s="100"/>
      <c r="G904" s="100"/>
      <c r="H904" s="155"/>
      <c r="I904" s="156"/>
      <c r="J904" s="157"/>
      <c r="K904" s="158"/>
      <c r="L904" s="159"/>
      <c r="M904" s="16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</row>
    <row r="905">
      <c r="A905" s="100"/>
      <c r="B905" s="154"/>
      <c r="C905" s="100"/>
      <c r="D905" s="100"/>
      <c r="E905" s="100"/>
      <c r="F905" s="100"/>
      <c r="G905" s="100"/>
      <c r="H905" s="155"/>
      <c r="I905" s="156"/>
      <c r="J905" s="157"/>
      <c r="K905" s="158"/>
      <c r="L905" s="159"/>
      <c r="M905" s="16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</row>
    <row r="906">
      <c r="A906" s="100"/>
      <c r="B906" s="154"/>
      <c r="C906" s="100"/>
      <c r="D906" s="100"/>
      <c r="E906" s="100"/>
      <c r="F906" s="100"/>
      <c r="G906" s="100"/>
      <c r="H906" s="155"/>
      <c r="I906" s="156"/>
      <c r="J906" s="157"/>
      <c r="K906" s="158"/>
      <c r="L906" s="159"/>
      <c r="M906" s="16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</row>
    <row r="907">
      <c r="A907" s="100"/>
      <c r="B907" s="154"/>
      <c r="C907" s="100"/>
      <c r="D907" s="100"/>
      <c r="E907" s="100"/>
      <c r="F907" s="100"/>
      <c r="G907" s="100"/>
      <c r="H907" s="155"/>
      <c r="I907" s="156"/>
      <c r="J907" s="157"/>
      <c r="K907" s="158"/>
      <c r="L907" s="159"/>
      <c r="M907" s="16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</row>
    <row r="908">
      <c r="A908" s="100"/>
      <c r="B908" s="154"/>
      <c r="C908" s="100"/>
      <c r="D908" s="100"/>
      <c r="E908" s="100"/>
      <c r="F908" s="100"/>
      <c r="G908" s="100"/>
      <c r="H908" s="155"/>
      <c r="I908" s="156"/>
      <c r="J908" s="157"/>
      <c r="K908" s="158"/>
      <c r="L908" s="159"/>
      <c r="M908" s="16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</row>
    <row r="909">
      <c r="A909" s="100"/>
      <c r="B909" s="154"/>
      <c r="C909" s="100"/>
      <c r="D909" s="100"/>
      <c r="E909" s="100"/>
      <c r="F909" s="100"/>
      <c r="G909" s="100"/>
      <c r="H909" s="155"/>
      <c r="I909" s="156"/>
      <c r="J909" s="157"/>
      <c r="K909" s="158"/>
      <c r="L909" s="159"/>
      <c r="M909" s="16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</row>
    <row r="910">
      <c r="A910" s="100"/>
      <c r="B910" s="154"/>
      <c r="C910" s="100"/>
      <c r="D910" s="100"/>
      <c r="E910" s="100"/>
      <c r="F910" s="100"/>
      <c r="G910" s="100"/>
      <c r="H910" s="155"/>
      <c r="I910" s="156"/>
      <c r="J910" s="157"/>
      <c r="K910" s="158"/>
      <c r="L910" s="159"/>
      <c r="M910" s="16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</row>
    <row r="911">
      <c r="A911" s="100"/>
      <c r="B911" s="154"/>
      <c r="C911" s="100"/>
      <c r="D911" s="100"/>
      <c r="E911" s="100"/>
      <c r="F911" s="100"/>
      <c r="G911" s="100"/>
      <c r="H911" s="155"/>
      <c r="I911" s="156"/>
      <c r="J911" s="157"/>
      <c r="K911" s="158"/>
      <c r="L911" s="159"/>
      <c r="M911" s="16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</row>
    <row r="912">
      <c r="A912" s="100"/>
      <c r="B912" s="154"/>
      <c r="C912" s="100"/>
      <c r="D912" s="100"/>
      <c r="E912" s="100"/>
      <c r="F912" s="100"/>
      <c r="G912" s="100"/>
      <c r="H912" s="155"/>
      <c r="I912" s="156"/>
      <c r="J912" s="157"/>
      <c r="K912" s="158"/>
      <c r="L912" s="159"/>
      <c r="M912" s="16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</row>
    <row r="913">
      <c r="A913" s="100"/>
      <c r="B913" s="154"/>
      <c r="C913" s="100"/>
      <c r="D913" s="100"/>
      <c r="E913" s="100"/>
      <c r="F913" s="100"/>
      <c r="G913" s="100"/>
      <c r="H913" s="155"/>
      <c r="I913" s="156"/>
      <c r="J913" s="157"/>
      <c r="K913" s="158"/>
      <c r="L913" s="159"/>
      <c r="M913" s="16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</row>
    <row r="914">
      <c r="A914" s="100"/>
      <c r="B914" s="154"/>
      <c r="C914" s="100"/>
      <c r="D914" s="100"/>
      <c r="E914" s="100"/>
      <c r="F914" s="100"/>
      <c r="G914" s="100"/>
      <c r="H914" s="155"/>
      <c r="I914" s="156"/>
      <c r="J914" s="157"/>
      <c r="K914" s="158"/>
      <c r="L914" s="159"/>
      <c r="M914" s="16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</row>
    <row r="915">
      <c r="A915" s="100"/>
      <c r="B915" s="154"/>
      <c r="C915" s="100"/>
      <c r="D915" s="100"/>
      <c r="E915" s="100"/>
      <c r="F915" s="100"/>
      <c r="G915" s="100"/>
      <c r="H915" s="155"/>
      <c r="I915" s="156"/>
      <c r="J915" s="157"/>
      <c r="K915" s="158"/>
      <c r="L915" s="159"/>
      <c r="M915" s="16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</row>
    <row r="916">
      <c r="A916" s="100"/>
      <c r="B916" s="154"/>
      <c r="C916" s="100"/>
      <c r="D916" s="100"/>
      <c r="E916" s="100"/>
      <c r="F916" s="100"/>
      <c r="G916" s="100"/>
      <c r="H916" s="155"/>
      <c r="I916" s="156"/>
      <c r="J916" s="157"/>
      <c r="K916" s="158"/>
      <c r="L916" s="159"/>
      <c r="M916" s="16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</row>
    <row r="917">
      <c r="A917" s="100"/>
      <c r="B917" s="154"/>
      <c r="C917" s="100"/>
      <c r="D917" s="100"/>
      <c r="E917" s="100"/>
      <c r="F917" s="100"/>
      <c r="G917" s="100"/>
      <c r="H917" s="155"/>
      <c r="I917" s="156"/>
      <c r="J917" s="157"/>
      <c r="K917" s="158"/>
      <c r="L917" s="159"/>
      <c r="M917" s="16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</row>
    <row r="918">
      <c r="A918" s="100"/>
      <c r="B918" s="154"/>
      <c r="C918" s="100"/>
      <c r="D918" s="100"/>
      <c r="E918" s="100"/>
      <c r="F918" s="100"/>
      <c r="G918" s="100"/>
      <c r="H918" s="155"/>
      <c r="I918" s="156"/>
      <c r="J918" s="157"/>
      <c r="K918" s="158"/>
      <c r="L918" s="159"/>
      <c r="M918" s="16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</row>
    <row r="919">
      <c r="A919" s="100"/>
      <c r="B919" s="154"/>
      <c r="C919" s="100"/>
      <c r="D919" s="100"/>
      <c r="E919" s="100"/>
      <c r="F919" s="100"/>
      <c r="G919" s="100"/>
      <c r="H919" s="155"/>
      <c r="I919" s="156"/>
      <c r="J919" s="157"/>
      <c r="K919" s="158"/>
      <c r="L919" s="159"/>
      <c r="M919" s="16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</row>
    <row r="920">
      <c r="A920" s="100"/>
      <c r="B920" s="154"/>
      <c r="C920" s="100"/>
      <c r="D920" s="100"/>
      <c r="E920" s="100"/>
      <c r="F920" s="100"/>
      <c r="G920" s="100"/>
      <c r="H920" s="155"/>
      <c r="I920" s="156"/>
      <c r="J920" s="157"/>
      <c r="K920" s="158"/>
      <c r="L920" s="159"/>
      <c r="M920" s="16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</row>
    <row r="921">
      <c r="A921" s="100"/>
      <c r="B921" s="154"/>
      <c r="C921" s="100"/>
      <c r="D921" s="100"/>
      <c r="E921" s="100"/>
      <c r="F921" s="100"/>
      <c r="G921" s="100"/>
      <c r="H921" s="155"/>
      <c r="I921" s="156"/>
      <c r="J921" s="157"/>
      <c r="K921" s="158"/>
      <c r="L921" s="159"/>
      <c r="M921" s="16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</row>
    <row r="922">
      <c r="A922" s="100"/>
      <c r="B922" s="154"/>
      <c r="C922" s="100"/>
      <c r="D922" s="100"/>
      <c r="E922" s="100"/>
      <c r="F922" s="100"/>
      <c r="G922" s="100"/>
      <c r="H922" s="155"/>
      <c r="I922" s="156"/>
      <c r="J922" s="157"/>
      <c r="K922" s="158"/>
      <c r="L922" s="159"/>
      <c r="M922" s="16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</row>
    <row r="923">
      <c r="A923" s="100"/>
      <c r="B923" s="154"/>
      <c r="C923" s="100"/>
      <c r="D923" s="100"/>
      <c r="E923" s="100"/>
      <c r="F923" s="100"/>
      <c r="G923" s="100"/>
      <c r="H923" s="155"/>
      <c r="I923" s="156"/>
      <c r="J923" s="157"/>
      <c r="K923" s="158"/>
      <c r="L923" s="159"/>
      <c r="M923" s="16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</row>
    <row r="924">
      <c r="A924" s="100"/>
      <c r="B924" s="154"/>
      <c r="C924" s="100"/>
      <c r="D924" s="100"/>
      <c r="E924" s="100"/>
      <c r="F924" s="100"/>
      <c r="G924" s="100"/>
      <c r="H924" s="155"/>
      <c r="I924" s="156"/>
      <c r="J924" s="157"/>
      <c r="K924" s="158"/>
      <c r="L924" s="159"/>
      <c r="M924" s="16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</row>
    <row r="925">
      <c r="A925" s="100"/>
      <c r="B925" s="154"/>
      <c r="C925" s="100"/>
      <c r="D925" s="100"/>
      <c r="E925" s="100"/>
      <c r="F925" s="100"/>
      <c r="G925" s="100"/>
      <c r="H925" s="155"/>
      <c r="I925" s="156"/>
      <c r="J925" s="157"/>
      <c r="K925" s="158"/>
      <c r="L925" s="159"/>
      <c r="M925" s="16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</row>
    <row r="926">
      <c r="A926" s="100"/>
      <c r="B926" s="154"/>
      <c r="C926" s="100"/>
      <c r="D926" s="100"/>
      <c r="E926" s="100"/>
      <c r="F926" s="100"/>
      <c r="G926" s="100"/>
      <c r="H926" s="155"/>
      <c r="I926" s="156"/>
      <c r="J926" s="157"/>
      <c r="K926" s="158"/>
      <c r="L926" s="159"/>
      <c r="M926" s="16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</row>
    <row r="927">
      <c r="A927" s="100"/>
      <c r="B927" s="154"/>
      <c r="C927" s="100"/>
      <c r="D927" s="100"/>
      <c r="E927" s="100"/>
      <c r="F927" s="100"/>
      <c r="G927" s="100"/>
      <c r="H927" s="155"/>
      <c r="I927" s="156"/>
      <c r="J927" s="157"/>
      <c r="K927" s="158"/>
      <c r="L927" s="159"/>
      <c r="M927" s="16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</row>
    <row r="928">
      <c r="A928" s="100"/>
      <c r="B928" s="154"/>
      <c r="C928" s="100"/>
      <c r="D928" s="100"/>
      <c r="E928" s="100"/>
      <c r="F928" s="100"/>
      <c r="G928" s="100"/>
      <c r="H928" s="155"/>
      <c r="I928" s="156"/>
      <c r="J928" s="157"/>
      <c r="K928" s="158"/>
      <c r="L928" s="159"/>
      <c r="M928" s="16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</row>
    <row r="929">
      <c r="A929" s="100"/>
      <c r="B929" s="154"/>
      <c r="C929" s="100"/>
      <c r="D929" s="100"/>
      <c r="E929" s="100"/>
      <c r="F929" s="100"/>
      <c r="G929" s="100"/>
      <c r="H929" s="155"/>
      <c r="I929" s="156"/>
      <c r="J929" s="157"/>
      <c r="K929" s="158"/>
      <c r="L929" s="159"/>
      <c r="M929" s="16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</row>
    <row r="930">
      <c r="A930" s="100"/>
      <c r="B930" s="154"/>
      <c r="C930" s="100"/>
      <c r="D930" s="100"/>
      <c r="E930" s="100"/>
      <c r="F930" s="100"/>
      <c r="G930" s="100"/>
      <c r="H930" s="155"/>
      <c r="I930" s="156"/>
      <c r="J930" s="157"/>
      <c r="K930" s="158"/>
      <c r="L930" s="159"/>
      <c r="M930" s="16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</row>
    <row r="931">
      <c r="A931" s="100"/>
      <c r="B931" s="154"/>
      <c r="C931" s="100"/>
      <c r="D931" s="100"/>
      <c r="E931" s="100"/>
      <c r="F931" s="100"/>
      <c r="G931" s="100"/>
      <c r="H931" s="155"/>
      <c r="I931" s="156"/>
      <c r="J931" s="157"/>
      <c r="K931" s="158"/>
      <c r="L931" s="159"/>
      <c r="M931" s="16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</row>
    <row r="932">
      <c r="A932" s="100"/>
      <c r="B932" s="154"/>
      <c r="C932" s="100"/>
      <c r="D932" s="100"/>
      <c r="E932" s="100"/>
      <c r="F932" s="100"/>
      <c r="G932" s="100"/>
      <c r="H932" s="155"/>
      <c r="I932" s="156"/>
      <c r="J932" s="157"/>
      <c r="K932" s="158"/>
      <c r="L932" s="159"/>
      <c r="M932" s="16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</row>
    <row r="933">
      <c r="A933" s="100"/>
      <c r="B933" s="154"/>
      <c r="C933" s="100"/>
      <c r="D933" s="100"/>
      <c r="E933" s="100"/>
      <c r="F933" s="100"/>
      <c r="G933" s="100"/>
      <c r="H933" s="155"/>
      <c r="I933" s="156"/>
      <c r="J933" s="157"/>
      <c r="K933" s="158"/>
      <c r="L933" s="159"/>
      <c r="M933" s="16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</row>
    <row r="934">
      <c r="A934" s="100"/>
      <c r="B934" s="154"/>
      <c r="C934" s="100"/>
      <c r="D934" s="100"/>
      <c r="E934" s="100"/>
      <c r="F934" s="100"/>
      <c r="G934" s="100"/>
      <c r="H934" s="155"/>
      <c r="I934" s="156"/>
      <c r="J934" s="157"/>
      <c r="K934" s="158"/>
      <c r="L934" s="159"/>
      <c r="M934" s="16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</row>
    <row r="935">
      <c r="A935" s="100"/>
      <c r="B935" s="154"/>
      <c r="C935" s="100"/>
      <c r="D935" s="100"/>
      <c r="E935" s="100"/>
      <c r="F935" s="100"/>
      <c r="G935" s="100"/>
      <c r="H935" s="155"/>
      <c r="I935" s="156"/>
      <c r="J935" s="157"/>
      <c r="K935" s="158"/>
      <c r="L935" s="159"/>
      <c r="M935" s="16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</row>
    <row r="936">
      <c r="A936" s="100"/>
      <c r="B936" s="154"/>
      <c r="C936" s="100"/>
      <c r="D936" s="100"/>
      <c r="E936" s="100"/>
      <c r="F936" s="100"/>
      <c r="G936" s="100"/>
      <c r="H936" s="155"/>
      <c r="I936" s="156"/>
      <c r="J936" s="157"/>
      <c r="K936" s="158"/>
      <c r="L936" s="159"/>
      <c r="M936" s="16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</row>
    <row r="937">
      <c r="A937" s="100"/>
      <c r="B937" s="154"/>
      <c r="C937" s="100"/>
      <c r="D937" s="100"/>
      <c r="E937" s="100"/>
      <c r="F937" s="100"/>
      <c r="G937" s="100"/>
      <c r="H937" s="155"/>
      <c r="I937" s="156"/>
      <c r="J937" s="157"/>
      <c r="K937" s="158"/>
      <c r="L937" s="159"/>
      <c r="M937" s="16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</row>
    <row r="938">
      <c r="A938" s="100"/>
      <c r="B938" s="154"/>
      <c r="C938" s="100"/>
      <c r="D938" s="100"/>
      <c r="E938" s="100"/>
      <c r="F938" s="100"/>
      <c r="G938" s="100"/>
      <c r="H938" s="155"/>
      <c r="I938" s="156"/>
      <c r="J938" s="157"/>
      <c r="K938" s="158"/>
      <c r="L938" s="159"/>
      <c r="M938" s="16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</row>
    <row r="939">
      <c r="A939" s="100"/>
      <c r="B939" s="154"/>
      <c r="C939" s="100"/>
      <c r="D939" s="100"/>
      <c r="E939" s="100"/>
      <c r="F939" s="100"/>
      <c r="G939" s="100"/>
      <c r="H939" s="155"/>
      <c r="I939" s="156"/>
      <c r="J939" s="157"/>
      <c r="K939" s="158"/>
      <c r="L939" s="159"/>
      <c r="M939" s="16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</row>
    <row r="940">
      <c r="A940" s="100"/>
      <c r="B940" s="154"/>
      <c r="C940" s="100"/>
      <c r="D940" s="100"/>
      <c r="E940" s="100"/>
      <c r="F940" s="100"/>
      <c r="G940" s="100"/>
      <c r="H940" s="155"/>
      <c r="I940" s="156"/>
      <c r="J940" s="157"/>
      <c r="K940" s="158"/>
      <c r="L940" s="159"/>
      <c r="M940" s="16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</row>
    <row r="941">
      <c r="A941" s="100"/>
      <c r="B941" s="154"/>
      <c r="C941" s="100"/>
      <c r="D941" s="100"/>
      <c r="E941" s="100"/>
      <c r="F941" s="100"/>
      <c r="G941" s="100"/>
      <c r="H941" s="155"/>
      <c r="I941" s="156"/>
      <c r="J941" s="157"/>
      <c r="K941" s="158"/>
      <c r="L941" s="159"/>
      <c r="M941" s="16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</row>
    <row r="942">
      <c r="A942" s="100"/>
      <c r="B942" s="154"/>
      <c r="C942" s="100"/>
      <c r="D942" s="100"/>
      <c r="E942" s="100"/>
      <c r="F942" s="100"/>
      <c r="G942" s="100"/>
      <c r="H942" s="155"/>
      <c r="I942" s="156"/>
      <c r="J942" s="157"/>
      <c r="K942" s="158"/>
      <c r="L942" s="159"/>
      <c r="M942" s="16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</row>
    <row r="943">
      <c r="A943" s="100"/>
      <c r="B943" s="154"/>
      <c r="C943" s="100"/>
      <c r="D943" s="100"/>
      <c r="E943" s="100"/>
      <c r="F943" s="100"/>
      <c r="G943" s="100"/>
      <c r="H943" s="155"/>
      <c r="I943" s="156"/>
      <c r="J943" s="157"/>
      <c r="K943" s="158"/>
      <c r="L943" s="159"/>
      <c r="M943" s="16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</row>
    <row r="944">
      <c r="A944" s="100"/>
      <c r="B944" s="154"/>
      <c r="C944" s="100"/>
      <c r="D944" s="100"/>
      <c r="E944" s="100"/>
      <c r="F944" s="100"/>
      <c r="G944" s="100"/>
      <c r="H944" s="155"/>
      <c r="I944" s="156"/>
      <c r="J944" s="157"/>
      <c r="K944" s="158"/>
      <c r="L944" s="159"/>
      <c r="M944" s="16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</row>
    <row r="945">
      <c r="A945" s="100"/>
      <c r="B945" s="154"/>
      <c r="C945" s="100"/>
      <c r="D945" s="100"/>
      <c r="E945" s="100"/>
      <c r="F945" s="100"/>
      <c r="G945" s="100"/>
      <c r="H945" s="155"/>
      <c r="I945" s="156"/>
      <c r="J945" s="157"/>
      <c r="K945" s="158"/>
      <c r="L945" s="159"/>
      <c r="M945" s="16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  <c r="AA945" s="100"/>
      <c r="AB945" s="100"/>
    </row>
    <row r="946">
      <c r="A946" s="100"/>
      <c r="B946" s="154"/>
      <c r="C946" s="100"/>
      <c r="D946" s="100"/>
      <c r="E946" s="100"/>
      <c r="F946" s="100"/>
      <c r="G946" s="100"/>
      <c r="H946" s="155"/>
      <c r="I946" s="156"/>
      <c r="J946" s="157"/>
      <c r="K946" s="158"/>
      <c r="L946" s="159"/>
      <c r="M946" s="16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  <c r="AA946" s="100"/>
      <c r="AB946" s="100"/>
    </row>
    <row r="947">
      <c r="A947" s="100"/>
      <c r="B947" s="154"/>
      <c r="C947" s="100"/>
      <c r="D947" s="100"/>
      <c r="E947" s="100"/>
      <c r="F947" s="100"/>
      <c r="G947" s="100"/>
      <c r="H947" s="155"/>
      <c r="I947" s="156"/>
      <c r="J947" s="157"/>
      <c r="K947" s="158"/>
      <c r="L947" s="159"/>
      <c r="M947" s="16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  <c r="AA947" s="100"/>
      <c r="AB947" s="100"/>
    </row>
    <row r="948">
      <c r="A948" s="100"/>
      <c r="B948" s="154"/>
      <c r="C948" s="100"/>
      <c r="D948" s="100"/>
      <c r="E948" s="100"/>
      <c r="F948" s="100"/>
      <c r="G948" s="100"/>
      <c r="H948" s="155"/>
      <c r="I948" s="156"/>
      <c r="J948" s="157"/>
      <c r="K948" s="158"/>
      <c r="L948" s="159"/>
      <c r="M948" s="16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  <c r="AA948" s="100"/>
      <c r="AB948" s="100"/>
    </row>
    <row r="949">
      <c r="A949" s="100"/>
      <c r="B949" s="154"/>
      <c r="C949" s="100"/>
      <c r="D949" s="100"/>
      <c r="E949" s="100"/>
      <c r="F949" s="100"/>
      <c r="G949" s="100"/>
      <c r="H949" s="155"/>
      <c r="I949" s="156"/>
      <c r="J949" s="157"/>
      <c r="K949" s="158"/>
      <c r="L949" s="159"/>
      <c r="M949" s="16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  <c r="AA949" s="100"/>
      <c r="AB949" s="100"/>
    </row>
    <row r="950">
      <c r="A950" s="100"/>
      <c r="B950" s="154"/>
      <c r="C950" s="100"/>
      <c r="D950" s="100"/>
      <c r="E950" s="100"/>
      <c r="F950" s="100"/>
      <c r="G950" s="100"/>
      <c r="H950" s="155"/>
      <c r="I950" s="156"/>
      <c r="J950" s="157"/>
      <c r="K950" s="158"/>
      <c r="L950" s="159"/>
      <c r="M950" s="16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  <c r="AA950" s="100"/>
      <c r="AB950" s="100"/>
    </row>
    <row r="951">
      <c r="A951" s="100"/>
      <c r="B951" s="154"/>
      <c r="C951" s="100"/>
      <c r="D951" s="100"/>
      <c r="E951" s="100"/>
      <c r="F951" s="100"/>
      <c r="G951" s="100"/>
      <c r="H951" s="155"/>
      <c r="I951" s="156"/>
      <c r="J951" s="157"/>
      <c r="K951" s="158"/>
      <c r="L951" s="159"/>
      <c r="M951" s="16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  <c r="AA951" s="100"/>
      <c r="AB951" s="100"/>
    </row>
    <row r="952">
      <c r="A952" s="100"/>
      <c r="B952" s="154"/>
      <c r="C952" s="100"/>
      <c r="D952" s="100"/>
      <c r="E952" s="100"/>
      <c r="F952" s="100"/>
      <c r="G952" s="100"/>
      <c r="H952" s="155"/>
      <c r="I952" s="156"/>
      <c r="J952" s="157"/>
      <c r="K952" s="158"/>
      <c r="L952" s="159"/>
      <c r="M952" s="16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  <c r="AA952" s="100"/>
      <c r="AB952" s="100"/>
    </row>
    <row r="953">
      <c r="A953" s="100"/>
      <c r="B953" s="154"/>
      <c r="C953" s="100"/>
      <c r="D953" s="100"/>
      <c r="E953" s="100"/>
      <c r="F953" s="100"/>
      <c r="G953" s="100"/>
      <c r="H953" s="155"/>
      <c r="I953" s="156"/>
      <c r="J953" s="157"/>
      <c r="K953" s="158"/>
      <c r="L953" s="159"/>
      <c r="M953" s="16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  <c r="AA953" s="100"/>
      <c r="AB953" s="100"/>
    </row>
    <row r="954">
      <c r="A954" s="100"/>
      <c r="B954" s="154"/>
      <c r="C954" s="100"/>
      <c r="D954" s="100"/>
      <c r="E954" s="100"/>
      <c r="F954" s="100"/>
      <c r="G954" s="100"/>
      <c r="H954" s="155"/>
      <c r="I954" s="156"/>
      <c r="J954" s="157"/>
      <c r="K954" s="158"/>
      <c r="L954" s="159"/>
      <c r="M954" s="16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  <c r="AA954" s="100"/>
      <c r="AB954" s="100"/>
    </row>
    <row r="955">
      <c r="A955" s="100"/>
      <c r="B955" s="154"/>
      <c r="C955" s="100"/>
      <c r="D955" s="100"/>
      <c r="E955" s="100"/>
      <c r="F955" s="100"/>
      <c r="G955" s="100"/>
      <c r="H955" s="155"/>
      <c r="I955" s="156"/>
      <c r="J955" s="157"/>
      <c r="K955" s="158"/>
      <c r="L955" s="159"/>
      <c r="M955" s="16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  <c r="AA955" s="100"/>
      <c r="AB955" s="100"/>
    </row>
    <row r="956">
      <c r="A956" s="100"/>
      <c r="B956" s="154"/>
      <c r="C956" s="100"/>
      <c r="D956" s="100"/>
      <c r="E956" s="100"/>
      <c r="F956" s="100"/>
      <c r="G956" s="100"/>
      <c r="H956" s="155"/>
      <c r="I956" s="156"/>
      <c r="J956" s="157"/>
      <c r="K956" s="158"/>
      <c r="L956" s="159"/>
      <c r="M956" s="16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  <c r="AA956" s="100"/>
      <c r="AB956" s="100"/>
    </row>
    <row r="957">
      <c r="A957" s="100"/>
      <c r="B957" s="154"/>
      <c r="C957" s="100"/>
      <c r="D957" s="100"/>
      <c r="E957" s="100"/>
      <c r="F957" s="100"/>
      <c r="G957" s="100"/>
      <c r="H957" s="155"/>
      <c r="I957" s="156"/>
      <c r="J957" s="157"/>
      <c r="K957" s="158"/>
      <c r="L957" s="159"/>
      <c r="M957" s="16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  <c r="AA957" s="100"/>
      <c r="AB957" s="100"/>
    </row>
    <row r="958">
      <c r="A958" s="100"/>
      <c r="B958" s="154"/>
      <c r="C958" s="100"/>
      <c r="D958" s="100"/>
      <c r="E958" s="100"/>
      <c r="F958" s="100"/>
      <c r="G958" s="100"/>
      <c r="H958" s="155"/>
      <c r="I958" s="156"/>
      <c r="J958" s="157"/>
      <c r="K958" s="158"/>
      <c r="L958" s="159"/>
      <c r="M958" s="16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  <c r="AA958" s="100"/>
      <c r="AB958" s="100"/>
    </row>
    <row r="959">
      <c r="A959" s="100"/>
      <c r="B959" s="154"/>
      <c r="C959" s="100"/>
      <c r="D959" s="100"/>
      <c r="E959" s="100"/>
      <c r="F959" s="100"/>
      <c r="G959" s="100"/>
      <c r="H959" s="155"/>
      <c r="I959" s="156"/>
      <c r="J959" s="157"/>
      <c r="K959" s="158"/>
      <c r="L959" s="159"/>
      <c r="M959" s="16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  <c r="AA959" s="100"/>
      <c r="AB959" s="100"/>
    </row>
    <row r="960">
      <c r="A960" s="100"/>
      <c r="B960" s="154"/>
      <c r="C960" s="100"/>
      <c r="D960" s="100"/>
      <c r="E960" s="100"/>
      <c r="F960" s="100"/>
      <c r="G960" s="100"/>
      <c r="H960" s="155"/>
      <c r="I960" s="156"/>
      <c r="J960" s="157"/>
      <c r="K960" s="158"/>
      <c r="L960" s="159"/>
      <c r="M960" s="16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  <c r="AA960" s="100"/>
      <c r="AB960" s="100"/>
    </row>
    <row r="961">
      <c r="A961" s="100"/>
      <c r="B961" s="154"/>
      <c r="C961" s="100"/>
      <c r="D961" s="100"/>
      <c r="E961" s="100"/>
      <c r="F961" s="100"/>
      <c r="G961" s="100"/>
      <c r="H961" s="155"/>
      <c r="I961" s="156"/>
      <c r="J961" s="157"/>
      <c r="K961" s="158"/>
      <c r="L961" s="159"/>
      <c r="M961" s="16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  <c r="AA961" s="100"/>
      <c r="AB961" s="100"/>
    </row>
    <row r="962">
      <c r="A962" s="100"/>
      <c r="B962" s="154"/>
      <c r="C962" s="100"/>
      <c r="D962" s="100"/>
      <c r="E962" s="100"/>
      <c r="F962" s="100"/>
      <c r="G962" s="100"/>
      <c r="H962" s="155"/>
      <c r="I962" s="156"/>
      <c r="J962" s="157"/>
      <c r="K962" s="158"/>
      <c r="L962" s="159"/>
      <c r="M962" s="16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  <c r="AA962" s="100"/>
      <c r="AB962" s="100"/>
    </row>
    <row r="963">
      <c r="A963" s="100"/>
      <c r="B963" s="154"/>
      <c r="C963" s="100"/>
      <c r="D963" s="100"/>
      <c r="E963" s="100"/>
      <c r="F963" s="100"/>
      <c r="G963" s="100"/>
      <c r="H963" s="155"/>
      <c r="I963" s="156"/>
      <c r="J963" s="157"/>
      <c r="K963" s="158"/>
      <c r="L963" s="159"/>
      <c r="M963" s="16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  <c r="AA963" s="100"/>
      <c r="AB963" s="100"/>
    </row>
    <row r="964">
      <c r="A964" s="100"/>
      <c r="B964" s="154"/>
      <c r="C964" s="100"/>
      <c r="D964" s="100"/>
      <c r="E964" s="100"/>
      <c r="F964" s="100"/>
      <c r="G964" s="100"/>
      <c r="H964" s="155"/>
      <c r="I964" s="156"/>
      <c r="J964" s="157"/>
      <c r="K964" s="158"/>
      <c r="L964" s="159"/>
      <c r="M964" s="16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  <c r="AA964" s="100"/>
      <c r="AB964" s="100"/>
    </row>
    <row r="965">
      <c r="A965" s="100"/>
      <c r="B965" s="154"/>
      <c r="C965" s="100"/>
      <c r="D965" s="100"/>
      <c r="E965" s="100"/>
      <c r="F965" s="100"/>
      <c r="G965" s="100"/>
      <c r="H965" s="155"/>
      <c r="I965" s="156"/>
      <c r="J965" s="157"/>
      <c r="K965" s="158"/>
      <c r="L965" s="159"/>
      <c r="M965" s="16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  <c r="AA965" s="100"/>
      <c r="AB965" s="100"/>
    </row>
    <row r="966">
      <c r="A966" s="100"/>
      <c r="B966" s="154"/>
      <c r="C966" s="100"/>
      <c r="D966" s="100"/>
      <c r="E966" s="100"/>
      <c r="F966" s="100"/>
      <c r="G966" s="100"/>
      <c r="H966" s="155"/>
      <c r="I966" s="156"/>
      <c r="J966" s="157"/>
      <c r="K966" s="158"/>
      <c r="L966" s="159"/>
      <c r="M966" s="16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  <c r="AA966" s="100"/>
      <c r="AB966" s="100"/>
    </row>
    <row r="967">
      <c r="A967" s="100"/>
      <c r="B967" s="154"/>
      <c r="C967" s="100"/>
      <c r="D967" s="100"/>
      <c r="E967" s="100"/>
      <c r="F967" s="100"/>
      <c r="G967" s="100"/>
      <c r="H967" s="155"/>
      <c r="I967" s="156"/>
      <c r="J967" s="157"/>
      <c r="K967" s="158"/>
      <c r="L967" s="159"/>
      <c r="M967" s="16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  <c r="AA967" s="100"/>
      <c r="AB967" s="100"/>
    </row>
    <row r="968">
      <c r="A968" s="100"/>
      <c r="B968" s="154"/>
      <c r="C968" s="100"/>
      <c r="D968" s="100"/>
      <c r="E968" s="100"/>
      <c r="F968" s="100"/>
      <c r="G968" s="100"/>
      <c r="H968" s="155"/>
      <c r="I968" s="156"/>
      <c r="J968" s="157"/>
      <c r="K968" s="158"/>
      <c r="L968" s="159"/>
      <c r="M968" s="16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  <c r="AA968" s="100"/>
      <c r="AB968" s="100"/>
    </row>
    <row r="969">
      <c r="A969" s="100"/>
      <c r="B969" s="154"/>
      <c r="C969" s="100"/>
      <c r="D969" s="100"/>
      <c r="E969" s="100"/>
      <c r="F969" s="100"/>
      <c r="G969" s="100"/>
      <c r="H969" s="155"/>
      <c r="I969" s="156"/>
      <c r="J969" s="157"/>
      <c r="K969" s="158"/>
      <c r="L969" s="159"/>
      <c r="M969" s="16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  <c r="AA969" s="100"/>
      <c r="AB969" s="100"/>
    </row>
    <row r="970">
      <c r="A970" s="100"/>
      <c r="B970" s="154"/>
      <c r="C970" s="100"/>
      <c r="D970" s="100"/>
      <c r="E970" s="100"/>
      <c r="F970" s="100"/>
      <c r="G970" s="100"/>
      <c r="H970" s="155"/>
      <c r="I970" s="156"/>
      <c r="J970" s="157"/>
      <c r="K970" s="158"/>
      <c r="L970" s="159"/>
      <c r="M970" s="16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  <c r="AA970" s="100"/>
      <c r="AB970" s="100"/>
    </row>
    <row r="971">
      <c r="A971" s="100"/>
      <c r="B971" s="154"/>
      <c r="C971" s="100"/>
      <c r="D971" s="100"/>
      <c r="E971" s="100"/>
      <c r="F971" s="100"/>
      <c r="G971" s="100"/>
      <c r="H971" s="155"/>
      <c r="I971" s="156"/>
      <c r="J971" s="157"/>
      <c r="K971" s="158"/>
      <c r="L971" s="159"/>
      <c r="M971" s="16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  <c r="X971" s="100"/>
      <c r="Y971" s="100"/>
      <c r="Z971" s="100"/>
      <c r="AA971" s="100"/>
      <c r="AB971" s="100"/>
    </row>
    <row r="972">
      <c r="A972" s="100"/>
      <c r="B972" s="154"/>
      <c r="C972" s="100"/>
      <c r="D972" s="100"/>
      <c r="E972" s="100"/>
      <c r="F972" s="100"/>
      <c r="G972" s="100"/>
      <c r="H972" s="155"/>
      <c r="I972" s="156"/>
      <c r="J972" s="157"/>
      <c r="K972" s="158"/>
      <c r="L972" s="159"/>
      <c r="M972" s="16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  <c r="AA972" s="100"/>
      <c r="AB972" s="100"/>
    </row>
    <row r="973">
      <c r="A973" s="100"/>
      <c r="B973" s="154"/>
      <c r="C973" s="100"/>
      <c r="D973" s="100"/>
      <c r="E973" s="100"/>
      <c r="F973" s="100"/>
      <c r="G973" s="100"/>
      <c r="H973" s="155"/>
      <c r="I973" s="156"/>
      <c r="J973" s="157"/>
      <c r="K973" s="158"/>
      <c r="L973" s="159"/>
      <c r="M973" s="16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  <c r="AA973" s="100"/>
      <c r="AB973" s="100"/>
    </row>
    <row r="974">
      <c r="A974" s="100"/>
      <c r="B974" s="154"/>
      <c r="C974" s="100"/>
      <c r="D974" s="100"/>
      <c r="E974" s="100"/>
      <c r="F974" s="100"/>
      <c r="G974" s="100"/>
      <c r="H974" s="155"/>
      <c r="I974" s="156"/>
      <c r="J974" s="157"/>
      <c r="K974" s="158"/>
      <c r="L974" s="159"/>
      <c r="M974" s="16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  <c r="AA974" s="100"/>
      <c r="AB974" s="100"/>
    </row>
    <row r="975">
      <c r="A975" s="100"/>
      <c r="B975" s="154"/>
      <c r="C975" s="100"/>
      <c r="D975" s="100"/>
      <c r="E975" s="100"/>
      <c r="F975" s="100"/>
      <c r="G975" s="100"/>
      <c r="H975" s="155"/>
      <c r="I975" s="156"/>
      <c r="J975" s="157"/>
      <c r="K975" s="158"/>
      <c r="L975" s="159"/>
      <c r="M975" s="16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  <c r="AA975" s="100"/>
      <c r="AB975" s="100"/>
    </row>
    <row r="976">
      <c r="A976" s="100"/>
      <c r="B976" s="154"/>
      <c r="C976" s="100"/>
      <c r="D976" s="100"/>
      <c r="E976" s="100"/>
      <c r="F976" s="100"/>
      <c r="G976" s="100"/>
      <c r="H976" s="155"/>
      <c r="I976" s="156"/>
      <c r="J976" s="157"/>
      <c r="K976" s="158"/>
      <c r="L976" s="159"/>
      <c r="M976" s="16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  <c r="AA976" s="100"/>
      <c r="AB976" s="100"/>
    </row>
    <row r="977">
      <c r="A977" s="100"/>
      <c r="B977" s="154"/>
      <c r="C977" s="100"/>
      <c r="D977" s="100"/>
      <c r="E977" s="100"/>
      <c r="F977" s="100"/>
      <c r="G977" s="100"/>
      <c r="H977" s="155"/>
      <c r="I977" s="156"/>
      <c r="J977" s="157"/>
      <c r="K977" s="158"/>
      <c r="L977" s="159"/>
      <c r="M977" s="16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  <c r="X977" s="100"/>
      <c r="Y977" s="100"/>
      <c r="Z977" s="100"/>
      <c r="AA977" s="100"/>
      <c r="AB977" s="100"/>
    </row>
    <row r="978">
      <c r="A978" s="100"/>
      <c r="B978" s="154"/>
      <c r="C978" s="100"/>
      <c r="D978" s="100"/>
      <c r="E978" s="100"/>
      <c r="F978" s="100"/>
      <c r="G978" s="100"/>
      <c r="H978" s="155"/>
      <c r="I978" s="156"/>
      <c r="J978" s="157"/>
      <c r="K978" s="158"/>
      <c r="L978" s="159"/>
      <c r="M978" s="16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  <c r="X978" s="100"/>
      <c r="Y978" s="100"/>
      <c r="Z978" s="100"/>
      <c r="AA978" s="100"/>
      <c r="AB978" s="100"/>
    </row>
    <row r="979">
      <c r="A979" s="100"/>
      <c r="B979" s="154"/>
      <c r="C979" s="100"/>
      <c r="D979" s="100"/>
      <c r="E979" s="100"/>
      <c r="F979" s="100"/>
      <c r="G979" s="100"/>
      <c r="H979" s="155"/>
      <c r="I979" s="156"/>
      <c r="J979" s="157"/>
      <c r="K979" s="158"/>
      <c r="L979" s="159"/>
      <c r="M979" s="16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  <c r="X979" s="100"/>
      <c r="Y979" s="100"/>
      <c r="Z979" s="100"/>
      <c r="AA979" s="100"/>
      <c r="AB979" s="100"/>
    </row>
    <row r="980">
      <c r="A980" s="100"/>
      <c r="B980" s="154"/>
      <c r="C980" s="100"/>
      <c r="D980" s="100"/>
      <c r="E980" s="100"/>
      <c r="F980" s="100"/>
      <c r="G980" s="100"/>
      <c r="H980" s="155"/>
      <c r="I980" s="156"/>
      <c r="J980" s="157"/>
      <c r="K980" s="158"/>
      <c r="L980" s="159"/>
      <c r="M980" s="16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  <c r="X980" s="100"/>
      <c r="Y980" s="100"/>
      <c r="Z980" s="100"/>
      <c r="AA980" s="100"/>
      <c r="AB980" s="100"/>
    </row>
    <row r="981">
      <c r="A981" s="100"/>
      <c r="B981" s="154"/>
      <c r="C981" s="100"/>
      <c r="D981" s="100"/>
      <c r="E981" s="100"/>
      <c r="F981" s="100"/>
      <c r="G981" s="100"/>
      <c r="H981" s="155"/>
      <c r="I981" s="156"/>
      <c r="J981" s="157"/>
      <c r="K981" s="158"/>
      <c r="L981" s="159"/>
      <c r="M981" s="160"/>
      <c r="N981" s="100"/>
      <c r="O981" s="100"/>
      <c r="P981" s="100"/>
      <c r="Q981" s="100"/>
      <c r="R981" s="100"/>
      <c r="S981" s="100"/>
      <c r="T981" s="100"/>
      <c r="U981" s="100"/>
      <c r="V981" s="100"/>
      <c r="W981" s="100"/>
      <c r="X981" s="100"/>
      <c r="Y981" s="100"/>
      <c r="Z981" s="100"/>
      <c r="AA981" s="100"/>
      <c r="AB981" s="100"/>
    </row>
    <row r="982">
      <c r="A982" s="100"/>
      <c r="B982" s="154"/>
      <c r="C982" s="100"/>
      <c r="D982" s="100"/>
      <c r="E982" s="100"/>
      <c r="F982" s="100"/>
      <c r="G982" s="100"/>
      <c r="H982" s="155"/>
      <c r="I982" s="156"/>
      <c r="J982" s="157"/>
      <c r="K982" s="158"/>
      <c r="L982" s="159"/>
      <c r="M982" s="160"/>
      <c r="N982" s="100"/>
      <c r="O982" s="100"/>
      <c r="P982" s="100"/>
      <c r="Q982" s="100"/>
      <c r="R982" s="100"/>
      <c r="S982" s="100"/>
      <c r="T982" s="100"/>
      <c r="U982" s="100"/>
      <c r="V982" s="100"/>
      <c r="W982" s="100"/>
      <c r="X982" s="100"/>
      <c r="Y982" s="100"/>
      <c r="Z982" s="100"/>
      <c r="AA982" s="100"/>
      <c r="AB982" s="100"/>
    </row>
    <row r="983">
      <c r="A983" s="100"/>
      <c r="B983" s="154"/>
      <c r="C983" s="100"/>
      <c r="D983" s="100"/>
      <c r="E983" s="100"/>
      <c r="F983" s="100"/>
      <c r="G983" s="100"/>
      <c r="H983" s="155"/>
      <c r="I983" s="156"/>
      <c r="J983" s="157"/>
      <c r="K983" s="158"/>
      <c r="L983" s="159"/>
      <c r="M983" s="160"/>
      <c r="N983" s="100"/>
      <c r="O983" s="100"/>
      <c r="P983" s="100"/>
      <c r="Q983" s="100"/>
      <c r="R983" s="100"/>
      <c r="S983" s="100"/>
      <c r="T983" s="100"/>
      <c r="U983" s="100"/>
      <c r="V983" s="100"/>
      <c r="W983" s="100"/>
      <c r="X983" s="100"/>
      <c r="Y983" s="100"/>
      <c r="Z983" s="100"/>
      <c r="AA983" s="100"/>
      <c r="AB983" s="100"/>
    </row>
    <row r="984">
      <c r="A984" s="100"/>
      <c r="B984" s="154"/>
      <c r="C984" s="100"/>
      <c r="D984" s="100"/>
      <c r="E984" s="100"/>
      <c r="F984" s="100"/>
      <c r="G984" s="100"/>
      <c r="H984" s="155"/>
      <c r="I984" s="156"/>
      <c r="J984" s="157"/>
      <c r="K984" s="158"/>
      <c r="L984" s="159"/>
      <c r="M984" s="16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  <c r="X984" s="100"/>
      <c r="Y984" s="100"/>
      <c r="Z984" s="100"/>
      <c r="AA984" s="100"/>
      <c r="AB984" s="100"/>
    </row>
    <row r="985">
      <c r="A985" s="100"/>
      <c r="B985" s="154"/>
      <c r="C985" s="100"/>
      <c r="D985" s="100"/>
      <c r="E985" s="100"/>
      <c r="F985" s="100"/>
      <c r="G985" s="100"/>
      <c r="H985" s="155"/>
      <c r="I985" s="156"/>
      <c r="J985" s="157"/>
      <c r="K985" s="158"/>
      <c r="L985" s="159"/>
      <c r="M985" s="160"/>
      <c r="N985" s="100"/>
      <c r="O985" s="100"/>
      <c r="P985" s="100"/>
      <c r="Q985" s="100"/>
      <c r="R985" s="100"/>
      <c r="S985" s="100"/>
      <c r="T985" s="100"/>
      <c r="U985" s="100"/>
      <c r="V985" s="100"/>
      <c r="W985" s="100"/>
      <c r="X985" s="100"/>
      <c r="Y985" s="100"/>
      <c r="Z985" s="100"/>
      <c r="AA985" s="100"/>
      <c r="AB985" s="100"/>
    </row>
    <row r="986">
      <c r="A986" s="100"/>
      <c r="B986" s="154"/>
      <c r="C986" s="100"/>
      <c r="D986" s="100"/>
      <c r="E986" s="100"/>
      <c r="F986" s="100"/>
      <c r="G986" s="100"/>
      <c r="H986" s="155"/>
      <c r="I986" s="156"/>
      <c r="J986" s="157"/>
      <c r="K986" s="158"/>
      <c r="L986" s="159"/>
      <c r="M986" s="160"/>
      <c r="N986" s="100"/>
      <c r="O986" s="100"/>
      <c r="P986" s="100"/>
      <c r="Q986" s="100"/>
      <c r="R986" s="100"/>
      <c r="S986" s="100"/>
      <c r="T986" s="100"/>
      <c r="U986" s="100"/>
      <c r="V986" s="100"/>
      <c r="W986" s="100"/>
      <c r="X986" s="100"/>
      <c r="Y986" s="100"/>
      <c r="Z986" s="100"/>
      <c r="AA986" s="100"/>
      <c r="AB986" s="100"/>
    </row>
    <row r="987">
      <c r="A987" s="100"/>
      <c r="B987" s="154"/>
      <c r="C987" s="100"/>
      <c r="D987" s="100"/>
      <c r="E987" s="100"/>
      <c r="F987" s="100"/>
      <c r="G987" s="100"/>
      <c r="H987" s="155"/>
      <c r="I987" s="156"/>
      <c r="J987" s="157"/>
      <c r="K987" s="158"/>
      <c r="L987" s="159"/>
      <c r="M987" s="160"/>
      <c r="N987" s="100"/>
      <c r="O987" s="100"/>
      <c r="P987" s="100"/>
      <c r="Q987" s="100"/>
      <c r="R987" s="100"/>
      <c r="S987" s="100"/>
      <c r="T987" s="100"/>
      <c r="U987" s="100"/>
      <c r="V987" s="100"/>
      <c r="W987" s="100"/>
      <c r="X987" s="100"/>
      <c r="Y987" s="100"/>
      <c r="Z987" s="100"/>
      <c r="AA987" s="100"/>
      <c r="AB987" s="100"/>
    </row>
    <row r="988">
      <c r="A988" s="100"/>
      <c r="B988" s="154"/>
      <c r="C988" s="100"/>
      <c r="D988" s="100"/>
      <c r="E988" s="100"/>
      <c r="F988" s="100"/>
      <c r="G988" s="100"/>
      <c r="H988" s="155"/>
      <c r="I988" s="156"/>
      <c r="J988" s="157"/>
      <c r="K988" s="158"/>
      <c r="L988" s="159"/>
      <c r="M988" s="160"/>
      <c r="N988" s="100"/>
      <c r="O988" s="100"/>
      <c r="P988" s="100"/>
      <c r="Q988" s="100"/>
      <c r="R988" s="100"/>
      <c r="S988" s="100"/>
      <c r="T988" s="100"/>
      <c r="U988" s="100"/>
      <c r="V988" s="100"/>
      <c r="W988" s="100"/>
      <c r="X988" s="100"/>
      <c r="Y988" s="100"/>
      <c r="Z988" s="100"/>
      <c r="AA988" s="100"/>
      <c r="AB988" s="100"/>
    </row>
    <row r="989">
      <c r="A989" s="100"/>
      <c r="B989" s="154"/>
      <c r="C989" s="100"/>
      <c r="D989" s="100"/>
      <c r="E989" s="100"/>
      <c r="F989" s="100"/>
      <c r="G989" s="100"/>
      <c r="H989" s="155"/>
      <c r="I989" s="156"/>
      <c r="J989" s="157"/>
      <c r="K989" s="158"/>
      <c r="L989" s="159"/>
      <c r="M989" s="160"/>
      <c r="N989" s="100"/>
      <c r="O989" s="100"/>
      <c r="P989" s="100"/>
      <c r="Q989" s="100"/>
      <c r="R989" s="100"/>
      <c r="S989" s="100"/>
      <c r="T989" s="100"/>
      <c r="U989" s="100"/>
      <c r="V989" s="100"/>
      <c r="W989" s="100"/>
      <c r="X989" s="100"/>
      <c r="Y989" s="100"/>
      <c r="Z989" s="100"/>
      <c r="AA989" s="100"/>
      <c r="AB989" s="100"/>
    </row>
    <row r="990">
      <c r="A990" s="100"/>
      <c r="B990" s="154"/>
      <c r="C990" s="100"/>
      <c r="D990" s="100"/>
      <c r="E990" s="100"/>
      <c r="F990" s="100"/>
      <c r="G990" s="100"/>
      <c r="H990" s="155"/>
      <c r="I990" s="156"/>
      <c r="J990" s="157"/>
      <c r="K990" s="158"/>
      <c r="L990" s="159"/>
      <c r="M990" s="160"/>
      <c r="N990" s="100"/>
      <c r="O990" s="100"/>
      <c r="P990" s="100"/>
      <c r="Q990" s="100"/>
      <c r="R990" s="100"/>
      <c r="S990" s="100"/>
      <c r="T990" s="100"/>
      <c r="U990" s="100"/>
      <c r="V990" s="100"/>
      <c r="W990" s="100"/>
      <c r="X990" s="100"/>
      <c r="Y990" s="100"/>
      <c r="Z990" s="100"/>
      <c r="AA990" s="100"/>
      <c r="AB990" s="100"/>
    </row>
    <row r="991">
      <c r="A991" s="100"/>
      <c r="B991" s="154"/>
      <c r="C991" s="100"/>
      <c r="D991" s="100"/>
      <c r="E991" s="100"/>
      <c r="F991" s="100"/>
      <c r="G991" s="100"/>
      <c r="H991" s="155"/>
      <c r="I991" s="156"/>
      <c r="J991" s="157"/>
      <c r="K991" s="158"/>
      <c r="L991" s="159"/>
      <c r="M991" s="160"/>
      <c r="N991" s="100"/>
      <c r="O991" s="100"/>
      <c r="P991" s="100"/>
      <c r="Q991" s="100"/>
      <c r="R991" s="100"/>
      <c r="S991" s="100"/>
      <c r="T991" s="100"/>
      <c r="U991" s="100"/>
      <c r="V991" s="100"/>
      <c r="W991" s="100"/>
      <c r="X991" s="100"/>
      <c r="Y991" s="100"/>
      <c r="Z991" s="100"/>
      <c r="AA991" s="100"/>
      <c r="AB991" s="100"/>
    </row>
    <row r="992">
      <c r="A992" s="100"/>
      <c r="B992" s="154"/>
      <c r="C992" s="100"/>
      <c r="D992" s="100"/>
      <c r="E992" s="100"/>
      <c r="F992" s="100"/>
      <c r="G992" s="100"/>
      <c r="H992" s="155"/>
      <c r="I992" s="156"/>
      <c r="J992" s="157"/>
      <c r="K992" s="158"/>
      <c r="L992" s="159"/>
      <c r="M992" s="160"/>
      <c r="N992" s="100"/>
      <c r="O992" s="100"/>
      <c r="P992" s="100"/>
      <c r="Q992" s="100"/>
      <c r="R992" s="100"/>
      <c r="S992" s="100"/>
      <c r="T992" s="100"/>
      <c r="U992" s="100"/>
      <c r="V992" s="100"/>
      <c r="W992" s="100"/>
      <c r="X992" s="100"/>
      <c r="Y992" s="100"/>
      <c r="Z992" s="100"/>
      <c r="AA992" s="100"/>
      <c r="AB992" s="100"/>
    </row>
    <row r="993">
      <c r="A993" s="100"/>
      <c r="B993" s="154"/>
      <c r="C993" s="100"/>
      <c r="D993" s="100"/>
      <c r="E993" s="100"/>
      <c r="F993" s="100"/>
      <c r="G993" s="100"/>
      <c r="H993" s="155"/>
      <c r="I993" s="156"/>
      <c r="J993" s="157"/>
      <c r="K993" s="158"/>
      <c r="L993" s="159"/>
      <c r="M993" s="160"/>
      <c r="N993" s="100"/>
      <c r="O993" s="100"/>
      <c r="P993" s="100"/>
      <c r="Q993" s="100"/>
      <c r="R993" s="100"/>
      <c r="S993" s="100"/>
      <c r="T993" s="100"/>
      <c r="U993" s="100"/>
      <c r="V993" s="100"/>
      <c r="W993" s="100"/>
      <c r="X993" s="100"/>
      <c r="Y993" s="100"/>
      <c r="Z993" s="100"/>
      <c r="AA993" s="100"/>
      <c r="AB993" s="100"/>
    </row>
    <row r="994">
      <c r="A994" s="100"/>
      <c r="B994" s="154"/>
      <c r="C994" s="100"/>
      <c r="D994" s="100"/>
      <c r="E994" s="100"/>
      <c r="F994" s="100"/>
      <c r="G994" s="100"/>
      <c r="H994" s="155"/>
      <c r="I994" s="156"/>
      <c r="J994" s="157"/>
      <c r="K994" s="158"/>
      <c r="L994" s="159"/>
      <c r="M994" s="160"/>
      <c r="N994" s="100"/>
      <c r="O994" s="100"/>
      <c r="P994" s="100"/>
      <c r="Q994" s="100"/>
      <c r="R994" s="100"/>
      <c r="S994" s="100"/>
      <c r="T994" s="100"/>
      <c r="U994" s="100"/>
      <c r="V994" s="100"/>
      <c r="W994" s="100"/>
      <c r="X994" s="100"/>
      <c r="Y994" s="100"/>
      <c r="Z994" s="100"/>
      <c r="AA994" s="100"/>
      <c r="AB994" s="100"/>
    </row>
    <row r="995">
      <c r="A995" s="100"/>
      <c r="B995" s="154"/>
      <c r="C995" s="100"/>
      <c r="D995" s="100"/>
      <c r="E995" s="100"/>
      <c r="F995" s="100"/>
      <c r="G995" s="100"/>
      <c r="H995" s="155"/>
      <c r="I995" s="156"/>
      <c r="J995" s="157"/>
      <c r="K995" s="158"/>
      <c r="L995" s="159"/>
      <c r="M995" s="160"/>
      <c r="N995" s="100"/>
      <c r="O995" s="100"/>
      <c r="P995" s="100"/>
      <c r="Q995" s="100"/>
      <c r="R995" s="100"/>
      <c r="S995" s="100"/>
      <c r="T995" s="100"/>
      <c r="U995" s="100"/>
      <c r="V995" s="100"/>
      <c r="W995" s="100"/>
      <c r="X995" s="100"/>
      <c r="Y995" s="100"/>
      <c r="Z995" s="100"/>
      <c r="AA995" s="100"/>
      <c r="AB995" s="100"/>
    </row>
    <row r="996">
      <c r="A996" s="100"/>
      <c r="B996" s="154"/>
      <c r="C996" s="100"/>
      <c r="D996" s="100"/>
      <c r="E996" s="100"/>
      <c r="F996" s="100"/>
      <c r="G996" s="100"/>
      <c r="H996" s="155"/>
      <c r="I996" s="156"/>
      <c r="J996" s="157"/>
      <c r="K996" s="158"/>
      <c r="L996" s="159"/>
      <c r="M996" s="160"/>
      <c r="N996" s="100"/>
      <c r="O996" s="100"/>
      <c r="P996" s="100"/>
      <c r="Q996" s="100"/>
      <c r="R996" s="100"/>
      <c r="S996" s="100"/>
      <c r="T996" s="100"/>
      <c r="U996" s="100"/>
      <c r="V996" s="100"/>
      <c r="W996" s="100"/>
      <c r="X996" s="100"/>
      <c r="Y996" s="100"/>
      <c r="Z996" s="100"/>
      <c r="AA996" s="100"/>
      <c r="AB996" s="100"/>
    </row>
    <row r="997">
      <c r="A997" s="100"/>
      <c r="B997" s="154"/>
      <c r="C997" s="100"/>
      <c r="D997" s="100"/>
      <c r="E997" s="100"/>
      <c r="F997" s="100"/>
      <c r="G997" s="100"/>
      <c r="H997" s="155"/>
      <c r="I997" s="156"/>
      <c r="J997" s="157"/>
      <c r="K997" s="158"/>
      <c r="L997" s="159"/>
      <c r="M997" s="160"/>
      <c r="N997" s="100"/>
      <c r="O997" s="100"/>
      <c r="P997" s="100"/>
      <c r="Q997" s="100"/>
      <c r="R997" s="100"/>
      <c r="S997" s="100"/>
      <c r="T997" s="100"/>
      <c r="U997" s="100"/>
      <c r="V997" s="100"/>
      <c r="W997" s="100"/>
      <c r="X997" s="100"/>
      <c r="Y997" s="100"/>
      <c r="Z997" s="100"/>
      <c r="AA997" s="100"/>
      <c r="AB997" s="100"/>
    </row>
    <row r="998">
      <c r="A998" s="100"/>
      <c r="B998" s="154"/>
      <c r="C998" s="100"/>
      <c r="D998" s="100"/>
      <c r="E998" s="100"/>
      <c r="F998" s="100"/>
      <c r="G998" s="100"/>
      <c r="H998" s="155"/>
      <c r="I998" s="156"/>
      <c r="J998" s="157"/>
      <c r="K998" s="158"/>
      <c r="L998" s="159"/>
      <c r="M998" s="160"/>
      <c r="N998" s="100"/>
      <c r="O998" s="100"/>
      <c r="P998" s="100"/>
      <c r="Q998" s="100"/>
      <c r="R998" s="100"/>
      <c r="S998" s="100"/>
      <c r="T998" s="100"/>
      <c r="U998" s="100"/>
      <c r="V998" s="100"/>
      <c r="W998" s="100"/>
      <c r="X998" s="100"/>
      <c r="Y998" s="100"/>
      <c r="Z998" s="100"/>
      <c r="AA998" s="100"/>
      <c r="AB998" s="100"/>
    </row>
    <row r="999">
      <c r="A999" s="100"/>
      <c r="B999" s="154"/>
      <c r="C999" s="100"/>
      <c r="D999" s="100"/>
      <c r="E999" s="100"/>
      <c r="F999" s="100"/>
      <c r="G999" s="100"/>
      <c r="H999" s="155"/>
      <c r="I999" s="156"/>
      <c r="J999" s="157"/>
      <c r="K999" s="158"/>
      <c r="L999" s="159"/>
      <c r="M999" s="160"/>
      <c r="N999" s="100"/>
      <c r="O999" s="100"/>
      <c r="P999" s="100"/>
      <c r="Q999" s="100"/>
      <c r="R999" s="100"/>
      <c r="S999" s="100"/>
      <c r="T999" s="100"/>
      <c r="U999" s="100"/>
      <c r="V999" s="100"/>
      <c r="W999" s="100"/>
      <c r="X999" s="100"/>
      <c r="Y999" s="100"/>
      <c r="Z999" s="100"/>
      <c r="AA999" s="100"/>
      <c r="AB999" s="100"/>
    </row>
    <row r="1000">
      <c r="A1000" s="100"/>
      <c r="B1000" s="154"/>
      <c r="C1000" s="100"/>
      <c r="D1000" s="100"/>
      <c r="E1000" s="100"/>
      <c r="F1000" s="100"/>
      <c r="G1000" s="100"/>
      <c r="H1000" s="155"/>
      <c r="I1000" s="156"/>
      <c r="J1000" s="157"/>
      <c r="K1000" s="158"/>
      <c r="L1000" s="159"/>
      <c r="M1000" s="160"/>
      <c r="N1000" s="100"/>
      <c r="O1000" s="100"/>
      <c r="P1000" s="100"/>
      <c r="Q1000" s="100"/>
      <c r="R1000" s="100"/>
      <c r="S1000" s="100"/>
      <c r="T1000" s="100"/>
      <c r="U1000" s="100"/>
      <c r="V1000" s="100"/>
      <c r="W1000" s="100"/>
      <c r="X1000" s="100"/>
      <c r="Y1000" s="100"/>
      <c r="Z1000" s="100"/>
      <c r="AA1000" s="100"/>
      <c r="AB1000" s="100"/>
    </row>
    <row r="1001">
      <c r="A1001" s="100"/>
      <c r="B1001" s="154"/>
      <c r="C1001" s="100"/>
      <c r="D1001" s="100"/>
      <c r="E1001" s="100"/>
      <c r="F1001" s="100"/>
      <c r="G1001" s="100"/>
      <c r="H1001" s="155"/>
      <c r="I1001" s="156"/>
      <c r="J1001" s="157"/>
      <c r="K1001" s="158"/>
      <c r="L1001" s="159"/>
      <c r="M1001" s="160"/>
      <c r="N1001" s="100"/>
      <c r="O1001" s="100"/>
      <c r="P1001" s="100"/>
      <c r="Q1001" s="100"/>
      <c r="R1001" s="100"/>
      <c r="S1001" s="100"/>
      <c r="T1001" s="100"/>
      <c r="U1001" s="100"/>
      <c r="V1001" s="100"/>
      <c r="W1001" s="100"/>
      <c r="X1001" s="100"/>
      <c r="Y1001" s="100"/>
      <c r="Z1001" s="100"/>
      <c r="AA1001" s="100"/>
      <c r="AB1001" s="100"/>
    </row>
    <row r="1002">
      <c r="A1002" s="100"/>
      <c r="B1002" s="154"/>
      <c r="C1002" s="100"/>
      <c r="D1002" s="100"/>
      <c r="E1002" s="100"/>
      <c r="F1002" s="100"/>
      <c r="G1002" s="100"/>
      <c r="H1002" s="155"/>
      <c r="I1002" s="156"/>
      <c r="J1002" s="157"/>
      <c r="K1002" s="158"/>
      <c r="L1002" s="159"/>
      <c r="M1002" s="160"/>
      <c r="N1002" s="100"/>
      <c r="O1002" s="100"/>
      <c r="P1002" s="100"/>
      <c r="Q1002" s="100"/>
      <c r="R1002" s="100"/>
      <c r="S1002" s="100"/>
      <c r="T1002" s="100"/>
      <c r="U1002" s="100"/>
      <c r="V1002" s="100"/>
      <c r="W1002" s="100"/>
      <c r="X1002" s="100"/>
      <c r="Y1002" s="100"/>
      <c r="Z1002" s="100"/>
      <c r="AA1002" s="100"/>
      <c r="AB1002" s="100"/>
    </row>
    <row r="1003">
      <c r="A1003" s="100"/>
      <c r="B1003" s="154"/>
      <c r="C1003" s="100"/>
      <c r="D1003" s="100"/>
      <c r="E1003" s="100"/>
      <c r="F1003" s="100"/>
      <c r="G1003" s="100"/>
      <c r="H1003" s="155"/>
      <c r="I1003" s="156"/>
      <c r="J1003" s="157"/>
      <c r="K1003" s="158"/>
      <c r="L1003" s="159"/>
      <c r="M1003" s="160"/>
      <c r="N1003" s="100"/>
      <c r="O1003" s="100"/>
      <c r="P1003" s="100"/>
      <c r="Q1003" s="100"/>
      <c r="R1003" s="100"/>
      <c r="S1003" s="100"/>
      <c r="T1003" s="100"/>
      <c r="U1003" s="100"/>
      <c r="V1003" s="100"/>
      <c r="W1003" s="100"/>
      <c r="X1003" s="100"/>
      <c r="Y1003" s="100"/>
      <c r="Z1003" s="100"/>
      <c r="AA1003" s="100"/>
      <c r="AB1003" s="100"/>
    </row>
    <row r="1004">
      <c r="A1004" s="100"/>
      <c r="B1004" s="154"/>
      <c r="C1004" s="100"/>
      <c r="D1004" s="100"/>
      <c r="E1004" s="100"/>
      <c r="F1004" s="100"/>
      <c r="G1004" s="100"/>
      <c r="H1004" s="155"/>
      <c r="I1004" s="156"/>
      <c r="J1004" s="157"/>
      <c r="K1004" s="158"/>
      <c r="L1004" s="159"/>
      <c r="M1004" s="160"/>
      <c r="N1004" s="100"/>
      <c r="O1004" s="100"/>
      <c r="P1004" s="100"/>
      <c r="Q1004" s="100"/>
      <c r="R1004" s="100"/>
      <c r="S1004" s="100"/>
      <c r="T1004" s="100"/>
      <c r="U1004" s="100"/>
      <c r="V1004" s="100"/>
      <c r="W1004" s="100"/>
      <c r="X1004" s="100"/>
      <c r="Y1004" s="100"/>
      <c r="Z1004" s="100"/>
      <c r="AA1004" s="100"/>
      <c r="AB1004" s="100"/>
    </row>
    <row r="1005">
      <c r="A1005" s="100"/>
      <c r="B1005" s="154"/>
      <c r="C1005" s="100"/>
      <c r="D1005" s="100"/>
      <c r="E1005" s="100"/>
      <c r="F1005" s="100"/>
      <c r="G1005" s="100"/>
      <c r="H1005" s="155"/>
      <c r="I1005" s="156"/>
      <c r="J1005" s="157"/>
      <c r="K1005" s="158"/>
      <c r="L1005" s="159"/>
      <c r="M1005" s="160"/>
      <c r="N1005" s="100"/>
      <c r="O1005" s="100"/>
      <c r="P1005" s="100"/>
      <c r="Q1005" s="100"/>
      <c r="R1005" s="100"/>
      <c r="S1005" s="100"/>
      <c r="T1005" s="100"/>
      <c r="U1005" s="100"/>
      <c r="V1005" s="100"/>
      <c r="W1005" s="100"/>
      <c r="X1005" s="100"/>
      <c r="Y1005" s="100"/>
      <c r="Z1005" s="100"/>
      <c r="AA1005" s="100"/>
      <c r="AB1005" s="100"/>
    </row>
    <row r="1006">
      <c r="A1006" s="100"/>
      <c r="B1006" s="154"/>
      <c r="C1006" s="100"/>
      <c r="D1006" s="100"/>
      <c r="E1006" s="100"/>
      <c r="F1006" s="100"/>
      <c r="G1006" s="100"/>
      <c r="H1006" s="155"/>
      <c r="I1006" s="156"/>
      <c r="J1006" s="157"/>
      <c r="K1006" s="158"/>
      <c r="L1006" s="159"/>
      <c r="M1006" s="160"/>
      <c r="N1006" s="100"/>
      <c r="O1006" s="100"/>
      <c r="P1006" s="100"/>
      <c r="Q1006" s="100"/>
      <c r="R1006" s="100"/>
      <c r="S1006" s="100"/>
      <c r="T1006" s="100"/>
      <c r="U1006" s="100"/>
      <c r="V1006" s="100"/>
      <c r="W1006" s="100"/>
      <c r="X1006" s="100"/>
      <c r="Y1006" s="100"/>
      <c r="Z1006" s="100"/>
      <c r="AA1006" s="100"/>
      <c r="AB1006" s="100"/>
    </row>
    <row r="1007">
      <c r="A1007" s="100"/>
      <c r="B1007" s="154"/>
      <c r="C1007" s="100"/>
      <c r="D1007" s="100"/>
      <c r="E1007" s="100"/>
      <c r="F1007" s="100"/>
      <c r="G1007" s="100"/>
      <c r="H1007" s="155"/>
      <c r="I1007" s="156"/>
      <c r="J1007" s="157"/>
      <c r="K1007" s="158"/>
      <c r="L1007" s="159"/>
      <c r="M1007" s="160"/>
      <c r="N1007" s="100"/>
      <c r="O1007" s="100"/>
      <c r="P1007" s="100"/>
      <c r="Q1007" s="100"/>
      <c r="R1007" s="100"/>
      <c r="S1007" s="100"/>
      <c r="T1007" s="100"/>
      <c r="U1007" s="100"/>
      <c r="V1007" s="100"/>
      <c r="W1007" s="100"/>
      <c r="X1007" s="100"/>
      <c r="Y1007" s="100"/>
      <c r="Z1007" s="100"/>
      <c r="AA1007" s="100"/>
      <c r="AB1007" s="100"/>
    </row>
    <row r="1008">
      <c r="A1008" s="100"/>
      <c r="B1008" s="154"/>
      <c r="C1008" s="100"/>
      <c r="D1008" s="100"/>
      <c r="E1008" s="100"/>
      <c r="F1008" s="100"/>
      <c r="G1008" s="100"/>
      <c r="H1008" s="155"/>
      <c r="I1008" s="156"/>
      <c r="J1008" s="157"/>
      <c r="K1008" s="158"/>
      <c r="L1008" s="159"/>
      <c r="M1008" s="160"/>
      <c r="N1008" s="100"/>
      <c r="O1008" s="100"/>
      <c r="P1008" s="100"/>
      <c r="Q1008" s="100"/>
      <c r="R1008" s="100"/>
      <c r="S1008" s="100"/>
      <c r="T1008" s="100"/>
      <c r="U1008" s="100"/>
      <c r="V1008" s="100"/>
      <c r="W1008" s="100"/>
      <c r="X1008" s="100"/>
      <c r="Y1008" s="100"/>
      <c r="Z1008" s="100"/>
      <c r="AA1008" s="100"/>
      <c r="AB1008" s="100"/>
    </row>
  </sheetData>
  <mergeCells count="17">
    <mergeCell ref="B3:B8"/>
    <mergeCell ref="B10:B14"/>
    <mergeCell ref="B17:B23"/>
    <mergeCell ref="B25:B29"/>
    <mergeCell ref="B32:B37"/>
    <mergeCell ref="B39:B43"/>
    <mergeCell ref="B46:B51"/>
    <mergeCell ref="B83:B84"/>
    <mergeCell ref="B85:B88"/>
    <mergeCell ref="B90:B94"/>
    <mergeCell ref="B53:B57"/>
    <mergeCell ref="B60:B65"/>
    <mergeCell ref="B66:B68"/>
    <mergeCell ref="B70:B72"/>
    <mergeCell ref="B74:B75"/>
    <mergeCell ref="B76:B78"/>
    <mergeCell ref="B80:B81"/>
  </mergeCells>
  <dataValidations>
    <dataValidation type="list" allowBlank="1" showErrorMessage="1" sqref="E2:E43 E45:E57 E59:E72 E74:E81 E83:E94">
      <formula1>"GOOD,NOT GOOD,AVERAGE "</formula1>
    </dataValidation>
  </dataValidations>
  <drawing r:id="rId1"/>
</worksheet>
</file>